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77061a285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1be30e3a9d4d469a"/>
    <x:sheet xmlns:r="http://schemas.openxmlformats.org/officeDocument/2006/relationships" name="Datos_47_semanas" sheetId="2" r:id="R06d52ba9ec734cd3"/>
    <x:sheet xmlns:r="http://schemas.openxmlformats.org/officeDocument/2006/relationships" name="Estadistica" sheetId="3" r:id="Ra212ba225d1e4c44"/>
    <x:sheet xmlns:r="http://schemas.openxmlformats.org/officeDocument/2006/relationships" name="Modelo_fijo" sheetId="4" r:id="Rc9b70055fbcb48ef"/>
    <x:sheet xmlns:r="http://schemas.openxmlformats.org/officeDocument/2006/relationships" name="MonteCarlo_1000" sheetId="5" r:id="R49533d076f844b89"/>
    <x:sheet xmlns:r="http://schemas.openxmlformats.org/officeDocument/2006/relationships" name="Decision" sheetId="6" r:id="R61aded6b5e1e4de7"/>
    <x:sheet xmlns:r="http://schemas.openxmlformats.org/officeDocument/2006/relationships" name="Fuentes" sheetId="7" r:id="Rcbd2e131e811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3047"/>
      </x:patternFill>
    </x:fill>
    <x:fill>
      <x:patternFill patternType="solid">
        <x:fgColor rgb="FF087F8C"/>
      </x:patternFill>
    </x:fill>
    <x:fill>
      <x:patternFill patternType="solid">
        <x:fgColor rgb="FFFFF0D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a7e17718c4fe8" /><Relationship Type="http://schemas.openxmlformats.org/officeDocument/2006/relationships/theme" Target="/xl/theme/theme1.xml" Id="Rdf5c5ca5e62f482d" /><Relationship Type="http://schemas.openxmlformats.org/officeDocument/2006/relationships/sharedStrings" Target="/xl/sharedStrings.xml" Id="R8155d84f8265487a" /><Relationship Type="http://schemas.openxmlformats.org/officeDocument/2006/relationships/worksheet" Target="/xl/worksheets/sheet1.xml" Id="R1be30e3a9d4d469a" /><Relationship Type="http://schemas.openxmlformats.org/officeDocument/2006/relationships/worksheet" Target="/xl/worksheets/sheet2.xml" Id="R06d52ba9ec734cd3" /><Relationship Type="http://schemas.openxmlformats.org/officeDocument/2006/relationships/worksheet" Target="/xl/worksheets/sheet3.xml" Id="Ra212ba225d1e4c44" /><Relationship Type="http://schemas.openxmlformats.org/officeDocument/2006/relationships/worksheet" Target="/xl/worksheets/sheet4.xml" Id="Rc9b70055fbcb48ef" /><Relationship Type="http://schemas.openxmlformats.org/officeDocument/2006/relationships/worksheet" Target="/xl/worksheets/sheet5.xml" Id="R49533d076f844b89" /><Relationship Type="http://schemas.openxmlformats.org/officeDocument/2006/relationships/worksheet" Target="/xl/worksheets/sheet6.xml" Id="R61aded6b5e1e4de7" /><Relationship Type="http://schemas.openxmlformats.org/officeDocument/2006/relationships/worksheet" Target="/xl/worksheets/sheet7.xml" Id="Rcbd2e131e81147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5" hidden="0" customWidth="1"/>
  </x:cols>
  <x:sheetData>
    <x:row r="1" ht="36" customHeight="1">
      <x:c r="A1" s="3" t="str">
        <x:v>CASO: ¿Cuánto inventario preparar?</x:v>
      </x:c>
      <x:c r="B1" s="3"/>
      <x:c r="C1" s="3"/>
      <x:c r="D1" s="3"/>
      <x:c r="E1" s="3"/>
      <x:c r="F1" s="3"/>
      <x:c r="G1" s="3"/>
      <x:c r="H1" s="3"/>
    </x:row>
    <x:row r="3">
      <x:c r="A3" s="8" t="str">
        <x:v>EQUIPOS EN TEAMS · 120 MINUTOS</x:v>
      </x:c>
      <x:c r="B3" s="6" t="str"/>
    </x:row>
    <x:row r="4">
      <x:c r="A4" s="8" t="str">
        <x:v>Dilema</x:v>
      </x:c>
      <x:c r="B4" s="6" t="str">
        <x:v>El responsable propone preparar 300 bolsas por semana. ¿Es una decisión sólida?</x:v>
      </x:c>
    </x:row>
    <x:row r="5">
      <x:c r="A5" s="8" t="str">
        <x:v>Producto</x:v>
      </x:c>
      <x:c r="B5" s="6" t="str">
        <x:v>20725 · LUNCH BAG RED RETROSPOT · Reino Unido</x:v>
      </x:c>
    </x:row>
    <x:row r="6">
      <x:c r="A6" s="8" t="str">
        <x:v>Dato observado</x:v>
      </x:c>
      <x:c r="B6" s="6" t="str">
        <x:v>Ventas registradas, NO demanda total (no observamos ventas perdidas).</x:v>
      </x:c>
    </x:row>
    <x:row r="7">
      <x:c r="A7" s="8" t="str">
        <x:v>Tema 1 · 20 min</x:v>
      </x:c>
      <x:c r="B7" s="6" t="str">
        <x:v>Explorar 47 semanas y describir variabilidad en Estadistica.</x:v>
      </x:c>
    </x:row>
    <x:row r="8">
      <x:c r="A8" s="8" t="str">
        <x:v>Tema 2 · 25 min</x:v>
      </x:c>
      <x:c r="B8" s="6" t="str">
        <x:v>Cambiar Q en Modelo_fijo; explicar supuestos y resultado.</x:v>
      </x:c>
    </x:row>
    <x:row r="9">
      <x:c r="A9" s="8" t="str">
        <x:v>Tema 3 · 30 min</x:v>
      </x:c>
      <x:c r="B9" s="6" t="str">
        <x:v>Simular demanda en MonteCarlo_1000 y comparar alternativas.</x:v>
      </x:c>
    </x:row>
    <x:row r="10">
      <x:c r="A10" s="8" t="str">
        <x:v>Defensa · 20 min</x:v>
      </x:c>
      <x:c r="B10" s="6" t="str">
        <x:v>Registrar decisión, evidencias y límites en Decision.</x:v>
      </x:c>
    </x:row>
    <x:row r="11">
      <x:c r="A11" s="8" t="str">
        <x:v>Inicio y cierre · 25 min</x:v>
      </x:c>
      <x:c r="B11" s="6" t="str">
        <x:v>15 min de apertura y 10 min de cierre dentro de 120 min.</x:v>
      </x:c>
    </x:row>
    <x:row r="12">
      <x:c r="A12" s="8" t="str">
        <x:v>Colores</x:v>
      </x:c>
      <x:c r="B12" s="6" t="str">
        <x:v>Celdas amarillas: cambiar supuestos. Celdas de cálculo: fórmulas.</x:v>
      </x:c>
    </x:row>
    <x:row r="13">
      <x:c r="A13" s="8" t="str">
        <x:v>Recálculo</x:v>
      </x:c>
      <x:c r="B13" s="6" t="str">
        <x:v>F9 vuelve a generar escenarios aleatorios; resultados cambian.</x:v>
      </x:c>
    </x:row>
    <x:row r="14">
      <x:c r="A14" s="8" t="str">
        <x:v>Interpretación</x:v>
      </x:c>
      <x:c r="B14" s="6" t="str">
        <x:v>Más iteraciones reducen error de simulación, no el sesgo de los supuestos.</x:v>
      </x:c>
    </x:row>
    <x:row r="15">
      <x:c r="A15" s="8" t="str">
        <x:v>Importante</x:v>
      </x:c>
      <x:c r="B15" s="6" t="str">
        <x:v>Precios y costos de decisión son HIPÓTESIS EDUCATIVAS, no costos de UCI.</x:v>
      </x:c>
    </x:row>
    <x:row r="16">
      <x:c r="A16" s="8" t="str">
        <x:v>Recomendación</x:v>
      </x:c>
      <x:c r="B16" s="6" t="str">
        <x:v>Cada integrante explica un supuesto, un indicador y un riesgo.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2" hidden="0" customWidth="1"/>
    <x:col min="5" max="5" width="35" hidden="0" customWidth="1"/>
  </x:cols>
  <x:sheetData>
    <x:row r="1" ht="36" customHeight="1">
      <x:c r="A1" s="3" t="str">
        <x:v>Ventas semanales observadas · producto 20725</x:v>
      </x:c>
      <x:c r="B1" s="3"/>
      <x:c r="C1" s="3"/>
      <x:c r="D1" s="3"/>
      <x:c r="E1" s="3"/>
    </x:row>
    <x:row r="3" ht="27" customHeight="1">
      <x:c r="A3" s="11" t="str">
        <x:v>Semana inicio</x:v>
      </x:c>
      <x:c r="B3" s="11" t="str">
        <x:v>Unidades vendidas</x:v>
      </x:c>
      <x:c r="C3" s="11" t="str">
        <x:v>Líneas transacción</x:v>
      </x:c>
      <x:c r="D3" s="11" t="str">
        <x:v>Ingresos (GBP)</x:v>
      </x:c>
      <x:c r="E3" s="11" t="str">
        <x:v>Origen</x:v>
      </x:c>
    </x:row>
    <x:row r="4">
      <x:c r="A4" t="str">
        <x:v>2011-01-03</x:v>
      </x:c>
      <x:c r="B4" t="n">
        <x:v>418</x:v>
      </x:c>
      <x:c r="C4" t="n">
        <x:v>15</x:v>
      </x:c>
      <x:c r="D4" t="n">
        <x:v>634.82</x:v>
      </x:c>
      <x:c r="E4" t="str">
        <x:v>UCI Online Retail / filtrado</x:v>
      </x:c>
    </x:row>
    <x:row r="5">
      <x:c r="A5" t="str">
        <x:v>2011-01-10</x:v>
      </x:c>
      <x:c r="B5" t="n">
        <x:v>282</x:v>
      </x:c>
      <x:c r="C5" t="n">
        <x:v>16</x:v>
      </x:c>
      <x:c r="D5" t="n">
        <x:v>460.26</x:v>
      </x:c>
      <x:c r="E5" t="str">
        <x:v>UCI Online Retail / filtrado</x:v>
      </x:c>
    </x:row>
    <x:row r="6">
      <x:c r="A6" t="str">
        <x:v>2011-01-17</x:v>
      </x:c>
      <x:c r="B6" t="n">
        <x:v>128</x:v>
      </x:c>
      <x:c r="C6" t="n">
        <x:v>11</x:v>
      </x:c>
      <x:c r="D6" t="n">
        <x:v>198.64</x:v>
      </x:c>
      <x:c r="E6" t="str">
        <x:v>UCI Online Retail / filtrado</x:v>
      </x:c>
    </x:row>
    <x:row r="7">
      <x:c r="A7" t="str">
        <x:v>2011-01-24</x:v>
      </x:c>
      <x:c r="B7" t="n">
        <x:v>161</x:v>
      </x:c>
      <x:c r="C7" t="n">
        <x:v>23</x:v>
      </x:c>
      <x:c r="D7" t="n">
        <x:v>317.77</x:v>
      </x:c>
      <x:c r="E7" t="str">
        <x:v>UCI Online Retail / filtrado</x:v>
      </x:c>
    </x:row>
    <x:row r="8">
      <x:c r="A8" t="str">
        <x:v>2011-01-31</x:v>
      </x:c>
      <x:c r="B8" t="n">
        <x:v>347</x:v>
      </x:c>
      <x:c r="C8" t="n">
        <x:v>28</x:v>
      </x:c>
      <x:c r="D8" t="n">
        <x:v>620.26</x:v>
      </x:c>
      <x:c r="E8" t="str">
        <x:v>UCI Online Retail / filtrado</x:v>
      </x:c>
    </x:row>
    <x:row r="9">
      <x:c r="A9" t="str">
        <x:v>2011-02-07</x:v>
      </x:c>
      <x:c r="B9" t="n">
        <x:v>155</x:v>
      </x:c>
      <x:c r="C9" t="n">
        <x:v>24</x:v>
      </x:c>
      <x:c r="D9" t="n">
        <x:v>288.84</x:v>
      </x:c>
      <x:c r="E9" t="str">
        <x:v>UCI Online Retail / filtrado</x:v>
      </x:c>
    </x:row>
    <x:row r="10">
      <x:c r="A10" t="str">
        <x:v>2011-02-14</x:v>
      </x:c>
      <x:c r="B10" t="n">
        <x:v>249</x:v>
      </x:c>
      <x:c r="C10" t="n">
        <x:v>25</x:v>
      </x:c>
      <x:c r="D10" t="n">
        <x:v>437.18</x:v>
      </x:c>
      <x:c r="E10" t="str">
        <x:v>UCI Online Retail / filtrado</x:v>
      </x:c>
    </x:row>
    <x:row r="11">
      <x:c r="A11" t="str">
        <x:v>2011-02-21</x:v>
      </x:c>
      <x:c r="B11" t="n">
        <x:v>259</x:v>
      </x:c>
      <x:c r="C11" t="n">
        <x:v>25</x:v>
      </x:c>
      <x:c r="D11" t="n">
        <x:v>468.57</x:v>
      </x:c>
      <x:c r="E11" t="str">
        <x:v>UCI Online Retail / filtrado</x:v>
      </x:c>
    </x:row>
    <x:row r="12">
      <x:c r="A12" t="str">
        <x:v>2011-02-28</x:v>
      </x:c>
      <x:c r="B12" t="n">
        <x:v>155</x:v>
      </x:c>
      <x:c r="C12" t="n">
        <x:v>13</x:v>
      </x:c>
      <x:c r="D12" t="n">
        <x:v>246.5</x:v>
      </x:c>
      <x:c r="E12" t="str">
        <x:v>UCI Online Retail / filtrado</x:v>
      </x:c>
    </x:row>
    <x:row r="13">
      <x:c r="A13" t="str">
        <x:v>2011-03-07</x:v>
      </x:c>
      <x:c r="B13" t="n">
        <x:v>98</x:v>
      </x:c>
      <x:c r="C13" t="n">
        <x:v>15</x:v>
      </x:c>
      <x:c r="D13" t="n">
        <x:v>167.14</x:v>
      </x:c>
      <x:c r="E13" t="str">
        <x:v>UCI Online Retail / filtrado</x:v>
      </x:c>
    </x:row>
    <x:row r="14">
      <x:c r="A14" t="str">
        <x:v>2011-03-14</x:v>
      </x:c>
      <x:c r="B14" t="n">
        <x:v>268</x:v>
      </x:c>
      <x:c r="C14" t="n">
        <x:v>30</x:v>
      </x:c>
      <x:c r="D14" t="n">
        <x:v>490.67</x:v>
      </x:c>
      <x:c r="E14" t="str">
        <x:v>UCI Online Retail / filtrado</x:v>
      </x:c>
    </x:row>
    <x:row r="15">
      <x:c r="A15" t="str">
        <x:v>2011-03-21</x:v>
      </x:c>
      <x:c r="B15" t="n">
        <x:v>336</x:v>
      </x:c>
      <x:c r="C15" t="n">
        <x:v>24</x:v>
      </x:c>
      <x:c r="D15" t="n">
        <x:v>607.21</x:v>
      </x:c>
      <x:c r="E15" t="str">
        <x:v>UCI Online Retail / filtrado</x:v>
      </x:c>
    </x:row>
    <x:row r="16">
      <x:c r="A16" t="str">
        <x:v>2011-03-28</x:v>
      </x:c>
      <x:c r="B16" t="n">
        <x:v>517</x:v>
      </x:c>
      <x:c r="C16" t="n">
        <x:v>34</x:v>
      </x:c>
      <x:c r="D16" t="n">
        <x:v>1017.23</x:v>
      </x:c>
      <x:c r="E16" t="str">
        <x:v>UCI Online Retail / filtrado</x:v>
      </x:c>
    </x:row>
    <x:row r="17">
      <x:c r="A17" t="str">
        <x:v>2011-04-04</x:v>
      </x:c>
      <x:c r="B17" t="n">
        <x:v>187</x:v>
      </x:c>
      <x:c r="C17" t="n">
        <x:v>22</x:v>
      </x:c>
      <x:c r="D17" t="n">
        <x:v>396.26</x:v>
      </x:c>
      <x:c r="E17" t="str">
        <x:v>UCI Online Retail / filtrado</x:v>
      </x:c>
    </x:row>
    <x:row r="18">
      <x:c r="A18" t="str">
        <x:v>2011-04-11</x:v>
      </x:c>
      <x:c r="B18" t="n">
        <x:v>275</x:v>
      </x:c>
      <x:c r="C18" t="n">
        <x:v>29</x:v>
      </x:c>
      <x:c r="D18" t="n">
        <x:v>658.97</x:v>
      </x:c>
      <x:c r="E18" t="str">
        <x:v>UCI Online Retail / filtrado</x:v>
      </x:c>
    </x:row>
    <x:row r="19">
      <x:c r="A19" t="str">
        <x:v>2011-04-18</x:v>
      </x:c>
      <x:c r="B19" t="n">
        <x:v>318</x:v>
      </x:c>
      <x:c r="C19" t="n">
        <x:v>28</x:v>
      </x:c>
      <x:c r="D19" t="n">
        <x:v>680.68</x:v>
      </x:c>
      <x:c r="E19" t="str">
        <x:v>UCI Online Retail / filtrado</x:v>
      </x:c>
    </x:row>
    <x:row r="20">
      <x:c r="A20" t="str">
        <x:v>2011-04-25</x:v>
      </x:c>
      <x:c r="B20" t="n">
        <x:v>154</x:v>
      </x:c>
      <x:c r="C20" t="n">
        <x:v>17</x:v>
      </x:c>
      <x:c r="D20" t="n">
        <x:v>355.88</x:v>
      </x:c>
      <x:c r="E20" t="str">
        <x:v>UCI Online Retail / filtrado</x:v>
      </x:c>
    </x:row>
    <x:row r="21">
      <x:c r="A21" t="str">
        <x:v>2011-05-02</x:v>
      </x:c>
      <x:c r="B21" t="n">
        <x:v>219</x:v>
      </x:c>
      <x:c r="C21" t="n">
        <x:v>30</x:v>
      </x:c>
      <x:c r="D21" t="n">
        <x:v>468.92</x:v>
      </x:c>
      <x:c r="E21" t="str">
        <x:v>UCI Online Retail / filtrado</x:v>
      </x:c>
    </x:row>
    <x:row r="22">
      <x:c r="A22" t="str">
        <x:v>2011-05-09</x:v>
      </x:c>
      <x:c r="B22" t="n">
        <x:v>470</x:v>
      </x:c>
      <x:c r="C22" t="n">
        <x:v>40</x:v>
      </x:c>
      <x:c r="D22" t="n">
        <x:v>887.74</x:v>
      </x:c>
      <x:c r="E22" t="str">
        <x:v>UCI Online Retail / filtrado</x:v>
      </x:c>
    </x:row>
    <x:row r="23">
      <x:c r="A23" t="str">
        <x:v>2011-05-16</x:v>
      </x:c>
      <x:c r="B23" t="n">
        <x:v>335</x:v>
      </x:c>
      <x:c r="C23" t="n">
        <x:v>33</x:v>
      </x:c>
      <x:c r="D23" t="n">
        <x:v>574.05</x:v>
      </x:c>
      <x:c r="E23" t="str">
        <x:v>UCI Online Retail / filtrado</x:v>
      </x:c>
    </x:row>
    <x:row r="24">
      <x:c r="A24" t="str">
        <x:v>2011-05-23</x:v>
      </x:c>
      <x:c r="B24" t="n">
        <x:v>424</x:v>
      </x:c>
      <x:c r="C24" t="n">
        <x:v>24</x:v>
      </x:c>
      <x:c r="D24" t="n">
        <x:v>816.82</x:v>
      </x:c>
      <x:c r="E24" t="str">
        <x:v>UCI Online Retail / filtrado</x:v>
      </x:c>
    </x:row>
    <x:row r="25">
      <x:c r="A25" t="str">
        <x:v>2011-05-30</x:v>
      </x:c>
      <x:c r="B25" t="n">
        <x:v>171</x:v>
      </x:c>
      <x:c r="C25" t="n">
        <x:v>25</x:v>
      </x:c>
      <x:c r="D25" t="n">
        <x:v>317.73</x:v>
      </x:c>
      <x:c r="E25" t="str">
        <x:v>UCI Online Retail / filtrado</x:v>
      </x:c>
    </x:row>
    <x:row r="26">
      <x:c r="A26" t="str">
        <x:v>2011-06-06</x:v>
      </x:c>
      <x:c r="B26" t="n">
        <x:v>565</x:v>
      </x:c>
      <x:c r="C26" t="n">
        <x:v>39</x:v>
      </x:c>
      <x:c r="D26" t="n">
        <x:v>1114.84</x:v>
      </x:c>
      <x:c r="E26" t="str">
        <x:v>UCI Online Retail / filtrado</x:v>
      </x:c>
    </x:row>
    <x:row r="27">
      <x:c r="A27" t="str">
        <x:v>2011-06-13</x:v>
      </x:c>
      <x:c r="B27" t="n">
        <x:v>186</x:v>
      </x:c>
      <x:c r="C27" t="n">
        <x:v>28</x:v>
      </x:c>
      <x:c r="D27" t="n">
        <x:v>434.33</x:v>
      </x:c>
      <x:c r="E27" t="str">
        <x:v>UCI Online Retail / filtrado</x:v>
      </x:c>
    </x:row>
    <x:row r="28">
      <x:c r="A28" t="str">
        <x:v>2011-06-20</x:v>
      </x:c>
      <x:c r="B28" t="n">
        <x:v>218</x:v>
      </x:c>
      <x:c r="C28" t="n">
        <x:v>26</x:v>
      </x:c>
      <x:c r="D28" t="n">
        <x:v>447.41</x:v>
      </x:c>
      <x:c r="E28" t="str">
        <x:v>UCI Online Retail / filtrado</x:v>
      </x:c>
    </x:row>
    <x:row r="29">
      <x:c r="A29" t="str">
        <x:v>2011-06-27</x:v>
      </x:c>
      <x:c r="B29" t="n">
        <x:v>183</x:v>
      </x:c>
      <x:c r="C29" t="n">
        <x:v>25</x:v>
      </x:c>
      <x:c r="D29" t="n">
        <x:v>363.18</x:v>
      </x:c>
      <x:c r="E29" t="str">
        <x:v>UCI Online Retail / filtrado</x:v>
      </x:c>
    </x:row>
    <x:row r="30">
      <x:c r="A30" t="str">
        <x:v>2011-07-04</x:v>
      </x:c>
      <x:c r="B30" t="n">
        <x:v>293</x:v>
      </x:c>
      <x:c r="C30" t="n">
        <x:v>29</x:v>
      </x:c>
      <x:c r="D30" t="n">
        <x:v>480.81</x:v>
      </x:c>
      <x:c r="E30" t="str">
        <x:v>UCI Online Retail / filtrado</x:v>
      </x:c>
    </x:row>
    <x:row r="31">
      <x:c r="A31" t="str">
        <x:v>2011-07-11</x:v>
      </x:c>
      <x:c r="B31" t="n">
        <x:v>201</x:v>
      </x:c>
      <x:c r="C31" t="n">
        <x:v>26</x:v>
      </x:c>
      <x:c r="D31" t="n">
        <x:v>336.61</x:v>
      </x:c>
      <x:c r="E31" t="str">
        <x:v>UCI Online Retail / filtrado</x:v>
      </x:c>
    </x:row>
    <x:row r="32">
      <x:c r="A32" t="str">
        <x:v>2011-07-18</x:v>
      </x:c>
      <x:c r="B32" t="n">
        <x:v>415</x:v>
      </x:c>
      <x:c r="C32" t="n">
        <x:v>28</x:v>
      </x:c>
      <x:c r="D32" t="n">
        <x:v>720.6</x:v>
      </x:c>
      <x:c r="E32" t="str">
        <x:v>UCI Online Retail / filtrado</x:v>
      </x:c>
    </x:row>
    <x:row r="33">
      <x:c r="A33" t="str">
        <x:v>2011-07-25</x:v>
      </x:c>
      <x:c r="B33" t="n">
        <x:v>345</x:v>
      </x:c>
      <x:c r="C33" t="n">
        <x:v>27</x:v>
      </x:c>
      <x:c r="D33" t="n">
        <x:v>644.41</x:v>
      </x:c>
      <x:c r="E33" t="str">
        <x:v>UCI Online Retail / filtrado</x:v>
      </x:c>
    </x:row>
    <x:row r="34">
      <x:c r="A34" t="str">
        <x:v>2011-08-01</x:v>
      </x:c>
      <x:c r="B34" t="n">
        <x:v>583</x:v>
      </x:c>
      <x:c r="C34" t="n">
        <x:v>34</x:v>
      </x:c>
      <x:c r="D34" t="n">
        <x:v>1044.53</x:v>
      </x:c>
      <x:c r="E34" t="str">
        <x:v>UCI Online Retail / filtrado</x:v>
      </x:c>
    </x:row>
    <x:row r="35">
      <x:c r="A35" t="str">
        <x:v>2011-08-08</x:v>
      </x:c>
      <x:c r="B35" t="n">
        <x:v>575</x:v>
      </x:c>
      <x:c r="C35" t="n">
        <x:v>40</x:v>
      </x:c>
      <x:c r="D35" t="n">
        <x:v>1125.54</x:v>
      </x:c>
      <x:c r="E35" t="str">
        <x:v>UCI Online Retail / filtrado</x:v>
      </x:c>
    </x:row>
    <x:row r="36">
      <x:c r="A36" t="str">
        <x:v>2011-08-15</x:v>
      </x:c>
      <x:c r="B36" t="n">
        <x:v>373</x:v>
      </x:c>
      <x:c r="C36" t="n">
        <x:v>33</x:v>
      </x:c>
      <x:c r="D36" t="n">
        <x:v>708.13</x:v>
      </x:c>
      <x:c r="E36" t="str">
        <x:v>UCI Online Retail / filtrado</x:v>
      </x:c>
    </x:row>
    <x:row r="37">
      <x:c r="A37" t="str">
        <x:v>2011-08-22</x:v>
      </x:c>
      <x:c r="B37" t="n">
        <x:v>281</x:v>
      </x:c>
      <x:c r="C37" t="n">
        <x:v>30</x:v>
      </x:c>
      <x:c r="D37" t="n">
        <x:v>562.95</x:v>
      </x:c>
      <x:c r="E37" t="str">
        <x:v>UCI Online Retail / filtrado</x:v>
      </x:c>
    </x:row>
    <x:row r="38">
      <x:c r="A38" t="str">
        <x:v>2011-08-29</x:v>
      </x:c>
      <x:c r="B38" t="n">
        <x:v>192</x:v>
      </x:c>
      <x:c r="C38" t="n">
        <x:v>34</x:v>
      </x:c>
      <x:c r="D38" t="n">
        <x:v>356.48</x:v>
      </x:c>
      <x:c r="E38" t="str">
        <x:v>UCI Online Retail / filtrado</x:v>
      </x:c>
    </x:row>
    <x:row r="39">
      <x:c r="A39" t="str">
        <x:v>2011-09-05</x:v>
      </x:c>
      <x:c r="B39" t="n">
        <x:v>304</x:v>
      </x:c>
      <x:c r="C39" t="n">
        <x:v>33</x:v>
      </x:c>
      <x:c r="D39" t="n">
        <x:v>508.88</x:v>
      </x:c>
      <x:c r="E39" t="str">
        <x:v>UCI Online Retail / filtrado</x:v>
      </x:c>
    </x:row>
    <x:row r="40">
      <x:c r="A40" t="str">
        <x:v>2011-09-12</x:v>
      </x:c>
      <x:c r="B40" t="n">
        <x:v>299</x:v>
      </x:c>
      <x:c r="C40" t="n">
        <x:v>30</x:v>
      </x:c>
      <x:c r="D40" t="n">
        <x:v>494.85</x:v>
      </x:c>
      <x:c r="E40" t="str">
        <x:v>UCI Online Retail / filtrado</x:v>
      </x:c>
    </x:row>
    <x:row r="41">
      <x:c r="A41" t="str">
        <x:v>2011-09-19</x:v>
      </x:c>
      <x:c r="B41" t="n">
        <x:v>212</x:v>
      </x:c>
      <x:c r="C41" t="n">
        <x:v>30</x:v>
      </x:c>
      <x:c r="D41" t="n">
        <x:v>399.57</x:v>
      </x:c>
      <x:c r="E41" t="str">
        <x:v>UCI Online Retail / filtrado</x:v>
      </x:c>
    </x:row>
    <x:row r="42">
      <x:c r="A42" t="str">
        <x:v>2011-09-26</x:v>
      </x:c>
      <x:c r="B42" t="n">
        <x:v>228</x:v>
      </x:c>
      <x:c r="C42" t="n">
        <x:v>26</x:v>
      </x:c>
      <x:c r="D42" t="n">
        <x:v>473</x:v>
      </x:c>
      <x:c r="E42" t="str">
        <x:v>UCI Online Retail / filtrado</x:v>
      </x:c>
    </x:row>
    <x:row r="43">
      <x:c r="A43" t="str">
        <x:v>2011-10-03</x:v>
      </x:c>
      <x:c r="B43" t="n">
        <x:v>278</x:v>
      </x:c>
      <x:c r="C43" t="n">
        <x:v>25</x:v>
      </x:c>
      <x:c r="D43" t="n">
        <x:v>732.59</x:v>
      </x:c>
      <x:c r="E43" t="str">
        <x:v>UCI Online Retail / filtrado</x:v>
      </x:c>
    </x:row>
    <x:row r="44">
      <x:c r="A44" t="str">
        <x:v>2011-10-10</x:v>
      </x:c>
      <x:c r="B44" t="n">
        <x:v>383</x:v>
      </x:c>
      <x:c r="C44" t="n">
        <x:v>33</x:v>
      </x:c>
      <x:c r="D44" t="n">
        <x:v>750.91</x:v>
      </x:c>
      <x:c r="E44" t="str">
        <x:v>UCI Online Retail / filtrado</x:v>
      </x:c>
    </x:row>
    <x:row r="45">
      <x:c r="A45" t="str">
        <x:v>2011-10-17</x:v>
      </x:c>
      <x:c r="B45" t="n">
        <x:v>146</x:v>
      </x:c>
      <x:c r="C45" t="n">
        <x:v>17</x:v>
      </x:c>
      <x:c r="D45" t="n">
        <x:v>368.32</x:v>
      </x:c>
      <x:c r="E45" t="str">
        <x:v>UCI Online Retail / filtrado</x:v>
      </x:c>
    </x:row>
    <x:row r="46">
      <x:c r="A46" t="str">
        <x:v>2011-10-24</x:v>
      </x:c>
      <x:c r="B46" t="n">
        <x:v>234</x:v>
      </x:c>
      <x:c r="C46" t="n">
        <x:v>29</x:v>
      </x:c>
      <x:c r="D46" t="n">
        <x:v>438.22</x:v>
      </x:c>
      <x:c r="E46" t="str">
        <x:v>UCI Online Retail / filtrado</x:v>
      </x:c>
    </x:row>
    <x:row r="47">
      <x:c r="A47" t="str">
        <x:v>2011-10-31</x:v>
      </x:c>
      <x:c r="B47" t="n">
        <x:v>223</x:v>
      </x:c>
      <x:c r="C47" t="n">
        <x:v>19</x:v>
      </x:c>
      <x:c r="D47" t="n">
        <x:v>392.62</x:v>
      </x:c>
      <x:c r="E47" t="str">
        <x:v>UCI Online Retail / filtrado</x:v>
      </x:c>
    </x:row>
    <x:row r="48">
      <x:c r="A48" t="str">
        <x:v>2011-11-07</x:v>
      </x:c>
      <x:c r="B48" t="n">
        <x:v>526</x:v>
      </x:c>
      <x:c r="C48" t="n">
        <x:v>41</x:v>
      </x:c>
      <x:c r="D48" t="n">
        <x:v>988.42</x:v>
      </x:c>
      <x:c r="E48" t="str">
        <x:v>UCI Online Retail / filtrado</x:v>
      </x:c>
    </x:row>
    <x:row r="49">
      <x:c r="A49" t="str">
        <x:v>2011-11-14</x:v>
      </x:c>
      <x:c r="B49" t="n">
        <x:v>449</x:v>
      </x:c>
      <x:c r="C49" t="n">
        <x:v>36</x:v>
      </x:c>
      <x:c r="D49" t="n">
        <x:v>915.49</x:v>
      </x:c>
      <x:c r="E49" t="str">
        <x:v>UCI Online Retail / filtrado</x:v>
      </x:c>
    </x:row>
    <x:row r="50">
      <x:c r="A50" t="str">
        <x:v>2011-11-21</x:v>
      </x:c>
      <x:c r="B50" t="n">
        <x:v>256</x:v>
      </x:c>
      <x:c r="C50" t="n">
        <x:v>31</x:v>
      </x:c>
      <x:c r="D50" t="n">
        <x:v>698.75</x:v>
      </x:c>
      <x:c r="E50" t="str">
        <x:v>UCI Online Retail / filtrado</x:v>
      </x:c>
    </x:row>
    <x:row r="52">
      <x:c r="A52" t="str">
        <x:v>Criterio: cantidades y precios positivos, InvoiceNo no inicia C, país Reino Unido; semanas completas 03-ene a 27-nov-2011.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60" hidden="0" customWidth="1"/>
  </x:cols>
  <x:sheetData>
    <x:row r="1" ht="36" customHeight="1">
      <x:c r="A1" s="3" t="str">
        <x:v>TEMA 1 · Evidencia antes de decidir</x:v>
      </x:c>
      <x:c r="B1" s="3"/>
      <x:c r="C1" s="3"/>
      <x:c r="D1" s="3"/>
      <x:c r="E1" s="3"/>
      <x:c r="F1" s="3"/>
      <x:c r="G1" s="3"/>
      <x:c r="H1" s="3"/>
    </x:row>
    <x:row r="4">
      <x:c r="A4" t="str">
        <x:v>Semanas</x:v>
      </x:c>
      <x:c r="B4" t="n">
        <x:f>COUNT(Datos_47_semanas!B4:B50)</x:f>
        <x:v>47</x:v>
      </x:c>
    </x:row>
    <x:row r="5">
      <x:c r="A5" t="str">
        <x:v>Promedio semanal</x:v>
      </x:c>
      <x:c r="B5" t="n">
        <x:f>AVERAGE(Datos_47_semanas!B4:B50)</x:f>
        <x:v>295.1914893617021</x:v>
      </x:c>
    </x:row>
    <x:row r="6">
      <x:c r="A6" t="str">
        <x:v>Mediana</x:v>
      </x:c>
      <x:c r="B6" t="n">
        <x:f>MEDIAN(Datos_47_semanas!B4:B50)</x:f>
        <x:v>275</x:v>
      </x:c>
    </x:row>
    <x:row r="7">
      <x:c r="A7" t="str">
        <x:v>Desviación estándar muestral</x:v>
      </x:c>
      <x:c r="B7" t="n">
        <x:f>_xlfn.STDEV.S(Datos_47_semanas!B4:B50)</x:f>
        <x:v>126.48176330101342</x:v>
      </x:c>
    </x:row>
    <x:row r="8">
      <x:c r="A8" t="str">
        <x:v>Mínimo</x:v>
      </x:c>
      <x:c r="B8" t="n">
        <x:f>MIN(Datos_47_semanas!B4:B50)</x:f>
        <x:v>98</x:v>
      </x:c>
    </x:row>
    <x:row r="9">
      <x:c r="A9" t="str">
        <x:v>Máximo</x:v>
      </x:c>
      <x:c r="B9" t="n">
        <x:f>MAX(Datos_47_semanas!B4:B50)</x:f>
        <x:v>583</x:v>
      </x:c>
    </x:row>
    <x:row r="10">
      <x:c r="A10" t="str">
        <x:v>Percentil 90</x:v>
      </x:c>
      <x:c r="B10" t="n">
        <x:f>_xlfn.PERCENTILE.INC(Datos_47_semanas!B4:B50,0.9)</x:f>
        <x:v>488.7999999999999</x:v>
      </x:c>
    </x:row>
    <x:row r="11">
      <x:c r="A11" t="str">
        <x:v>Semanas superiores a 300</x:v>
      </x:c>
      <x:c r="B11" t="n">
        <x:f>COUNTIF(Datos_47_semanas!B4:B50,"&gt;300")</x:f>
        <x:v>18</x:v>
      </x:c>
    </x:row>
    <x:row r="12">
      <x:c r="A12" t="str">
        <x:v>Proporción superior a 300</x:v>
      </x:c>
      <x:c r="B12" s="14" t="n">
        <x:f>B11/B4</x:f>
        <x:v>0.3829787234042553</x:v>
      </x:c>
    </x:row>
    <x:row r="13">
      <x:c r="A13" t="str">
        <x:v>Coeficiente de variación</x:v>
      </x:c>
      <x:c r="B13" s="14" t="n">
        <x:f>B7/B5</x:f>
        <x:v>0.4284736107213227</x:v>
      </x:c>
    </x:row>
    <x:row r="16" ht="27" customHeight="1">
      <x:c r="A16" s="11" t="str">
        <x:v>Preguntas de equipo</x:v>
      </x:c>
      <x:c r="B16" s="11" t="str">
        <x:v>Respuesta</x:v>
      </x:c>
    </x:row>
    <x:row r="17">
      <x:c r="A17" t="str">
        <x:v>¿Promedio y mediana cuentan la misma historia?</x:v>
      </x:c>
      <x:c r="B17" t="str"/>
    </x:row>
    <x:row r="18">
      <x:c r="A18" t="str">
        <x:v>¿Qué se pierde al usar sólo 300 unidades?</x:v>
      </x:c>
      <x:c r="B18" t="str"/>
    </x:row>
    <x:row r="19">
      <x:c r="A19" t="str">
        <x:v>¿Por qué ventas observadas ≠ demanda total?</x:v>
      </x:c>
      <x:c r="B19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76" hidden="0" customWidth="1"/>
  </x:cols>
  <x:sheetData>
    <x:row r="1" ht="36" customHeight="1">
      <x:c r="A1" s="3" t="str">
        <x:v>TEMA 2 · Modelo con entradas fijas</x:v>
      </x:c>
      <x:c r="B1" s="3"/>
      <x:c r="C1" s="3"/>
      <x:c r="D1" s="3"/>
      <x:c r="E1" s="3"/>
      <x:c r="F1" s="3"/>
      <x:c r="G1" s="3"/>
      <x:c r="H1" s="3"/>
    </x:row>
    <x:row r="4" ht="27" customHeight="1">
      <x:c r="A4" s="11" t="str">
        <x:v>Parámetro</x:v>
      </x:c>
      <x:c r="B4" s="11" t="str">
        <x:v>Valor</x:v>
      </x:c>
      <x:c r="C4" s="11" t="str">
        <x:v>Tipo / explicación</x:v>
      </x:c>
    </x:row>
    <x:row r="5">
      <x:c r="A5" t="str">
        <x:v>Inventario Q</x:v>
      </x:c>
      <x:c r="B5" s="16" t="n">
        <x:v>300</x:v>
      </x:c>
      <x:c r="C5" t="str">
        <x:v>DECISIÓN · unidades/semana</x:v>
      </x:c>
    </x:row>
    <x:row r="6">
      <x:c r="A6" t="str">
        <x:v>Ventas esperadas</x:v>
      </x:c>
      <x:c r="B6" t="n">
        <x:f>Estadistica!B5</x:f>
        <x:v>295.1914893617021</x:v>
      </x:c>
      <x:c r="C6" t="str">
        <x:v>Estimación del promedio observado</x:v>
      </x:c>
    </x:row>
    <x:row r="7">
      <x:c r="A7" t="str">
        <x:v>Precio unitario GBP</x:v>
      </x:c>
      <x:c r="B7" s="16" t="n">
        <x:v>1.65</x:v>
      </x:c>
      <x:c r="C7" t="str">
        <x:v>HIPÓTESIS didáctica basada en precio orientativo</x:v>
      </x:c>
    </x:row>
    <x:row r="8">
      <x:c r="A8" t="str">
        <x:v>Costo unitario GBP</x:v>
      </x:c>
      <x:c r="B8" s="16" t="n">
        <x:v>0.85</x:v>
      </x:c>
      <x:c r="C8" t="str">
        <x:v>HIPÓTESIS didáctica</x:v>
      </x:c>
    </x:row>
    <x:row r="9">
      <x:c r="A9" t="str">
        <x:v>Valor de recuperación GBP</x:v>
      </x:c>
      <x:c r="B9" s="16" t="n">
        <x:v>0.3</x:v>
      </x:c>
      <x:c r="C9" t="str">
        <x:v>HIPÓTESIS didáctica: excedente</x:v>
      </x:c>
    </x:row>
    <x:row r="10">
      <x:c r="A10" t="str">
        <x:v>Ventas realizadas</x:v>
      </x:c>
      <x:c r="B10" t="n">
        <x:f>MIN(B5,B6)</x:f>
        <x:v>295.1914893617021</x:v>
      </x:c>
      <x:c r="C10" t="str">
        <x:v>MIN(inventario, ventas esperadas)</x:v>
      </x:c>
    </x:row>
    <x:row r="11">
      <x:c r="A11" t="str">
        <x:v>Excedente</x:v>
      </x:c>
      <x:c r="B11" t="n">
        <x:f>MAX(B5-B6,0)</x:f>
        <x:v>4.808510638297889</x:v>
      </x:c>
      <x:c r="C11" t="str">
        <x:v>MAX(inventario - ventas,0)</x:v>
      </x:c>
    </x:row>
    <x:row r="12">
      <x:c r="A12" t="str">
        <x:v>Faltante proxy</x:v>
      </x:c>
      <x:c r="B12" t="n">
        <x:f>MAX(B6-B5,0)</x:f>
        <x:v>0</x:v>
      </x:c>
      <x:c r="C12" t="str">
        <x:v>MAX(ventas esperadas - inventario,0)</x:v>
      </x:c>
    </x:row>
    <x:row r="13">
      <x:c r="A13" t="str">
        <x:v>Beneficio semanal GBP</x:v>
      </x:c>
      <x:c r="B13" t="n">
        <x:f>B10*B7+B11*B9-B5*B8</x:f>
        <x:v>233.50851063829782</x:v>
      </x:c>
      <x:c r="C13" t="str">
        <x:v>Ventas*precio+excedente*recuperación-Q*costo</x:v>
      </x:c>
    </x:row>
    <x:row r="16" ht="27" customHeight="1">
      <x:c r="A16" s="11" t="str">
        <x:v>Discusión</x:v>
      </x:c>
      <x:c r="B16" s="11" t="str">
        <x:v>Respuesta</x:v>
      </x:c>
    </x:row>
    <x:row r="17">
      <x:c r="A17" t="str">
        <x:v>¿Qué ocurre si Q cambia a 250 o 400?</x:v>
      </x:c>
      <x:c r="B17" t="str"/>
    </x:row>
    <x:row r="18">
      <x:c r="A18" t="str">
        <x:v>¿Qué incertidumbre queda fuera del modelo?</x:v>
      </x:c>
      <x:c r="B18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2" topLeftCell="A13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1" max="11" width="35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6" customHeight="1">
      <x:c r="A1" s="3" t="str">
        <x:v>TEMA 3 · 1,000 iteraciones · remuestreo empírico</x:v>
      </x:c>
      <x:c r="B1" s="3"/>
      <x:c r="C1" s="3"/>
      <x:c r="D1" s="3"/>
      <x:c r="E1" s="3"/>
      <x:c r="F1" s="3"/>
      <x:c r="G1" s="3"/>
      <x:c r="H1" s="3"/>
      <x:c r="I1" s="3"/>
    </x:row>
    <x:row r="3" ht="27" customHeight="1">
      <x:c r="A3" s="11" t="str">
        <x:v>Entrada</x:v>
      </x:c>
      <x:c r="B3" s="11" t="str">
        <x:v>Valor</x:v>
      </x:c>
      <x:c r="K3" s="11" t="str">
        <x:v>Indicador</x:v>
      </x:c>
      <x:c r="L3" s="11" t="str">
        <x:v>Q1 = 250</x:v>
      </x:c>
      <x:c r="M3" s="11" t="str">
        <x:v>Q2 = 300</x:v>
      </x:c>
      <x:c r="N3" s="11" t="str">
        <x:v>Q3 = 400</x:v>
      </x:c>
    </x:row>
    <x:row r="4">
      <x:c r="A4" t="str">
        <x:v>Alternativa Q 1</x:v>
      </x:c>
      <x:c r="B4" s="16" t="n">
        <x:v>250</x:v>
      </x:c>
      <x:c r="K4" t="str">
        <x:v>Beneficio promedio GBP</x:v>
      </x:c>
      <x:c r="L4" t="n">
        <x:f>AVERAGE(E13:E1012)</x:f>
        <x:v>160.20199999999997</x:v>
      </x:c>
      <x:c r="M4" t="n">
        <x:f>AVERAGE(F13:F1012)</x:f>
        <x:v>165.40304999999995</x:v>
      </x:c>
      <x:c r="N4" t="n">
        <x:f>AVERAGE(G13:G1012)</x:f>
        <x:v>149.15479999999994</x:v>
      </x:c>
    </x:row>
    <x:row r="5">
      <x:c r="A5" t="str">
        <x:v>Alternativa Q 2</x:v>
      </x:c>
      <x:c r="B5" s="16" t="n">
        <x:v>300</x:v>
      </x:c>
      <x:c r="K5" t="str">
        <x:v>Desviación estándar GBP</x:v>
      </x:c>
      <x:c r="L5" t="n">
        <x:f>_xlfn.STDEV.S(E13:E1012)</x:f>
        <x:v>55.56823489845354</x:v>
      </x:c>
      <x:c r="M5" t="n">
        <x:f>_xlfn.STDEV.S(F13:F1012)</x:f>
        <x:v>81.82386144945772</x:v>
      </x:c>
      <x:c r="N5" t="n">
        <x:f>_xlfn.STDEV.S(G13:G1012)</x:f>
        <x:v>124.77700352055072</x:v>
      </x:c>
    </x:row>
    <x:row r="6">
      <x:c r="A6" t="str">
        <x:v>Alternativa Q 3</x:v>
      </x:c>
      <x:c r="B6" s="16" t="n">
        <x:v>400</x:v>
      </x:c>
      <x:c r="K6" t="str">
        <x:v>Probabilidad beneficio &lt; 0</x:v>
      </x:c>
      <x:c r="L6" s="14" t="n">
        <x:f>COUNTIF(E13:E1012,"&lt;0")/1000</x:f>
        <x:v>0.025</x:v>
      </x:c>
      <x:c r="M6" s="14" t="n">
        <x:f>COUNTIF(F13:F1012,"&lt;0")/1000</x:f>
        <x:v>0.025</x:v>
      </x:c>
      <x:c r="N6" s="14" t="n">
        <x:f>COUNTIF(G13:G1012,"&lt;0")/1000</x:f>
        <x:v>0.144</x:v>
      </x:c>
    </x:row>
    <x:row r="7">
      <x:c r="A7" t="str">
        <x:v>Precio GBP</x:v>
      </x:c>
      <x:c r="B7" t="n">
        <x:f>Modelo_fijo!B7</x:f>
        <x:v>1.65</x:v>
      </x:c>
      <x:c r="K7" t="str">
        <x:v>Probabilidad de faltante</x:v>
      </x:c>
      <x:c r="L7" s="14" t="n">
        <x:f>COUNTIF($D$13:$D$1012,"&gt;"&amp;$B$4)/1000</x:f>
        <x:v>0.555</x:v>
      </x:c>
      <x:c r="M7" s="14" t="n">
        <x:f>COUNTIF($D$13:$D$1012,"&gt;"&amp;$B$5)/1000</x:f>
        <x:v>0.389</x:v>
      </x:c>
      <x:c r="N7" s="14" t="n">
        <x:f>COUNTIF($D$13:$D$1012,"&gt;"&amp;$B$6)/1000</x:f>
        <x:v>0.207</x:v>
      </x:c>
    </x:row>
    <x:row r="8">
      <x:c r="A8" t="str">
        <x:v>Costo GBP</x:v>
      </x:c>
      <x:c r="B8" t="n">
        <x:f>Modelo_fijo!B8</x:f>
        <x:v>0.85</x:v>
      </x:c>
      <x:c r="K8" t="str">
        <x:v>Percentil 10 beneficio GBP</x:v>
      </x:c>
      <x:c r="L8" t="n">
        <x:f>_xlfn.PERCENTILE.INC(E13:E1012,0.1)</x:f>
        <x:v>71.75</x:v>
      </x:c>
      <x:c r="M8" t="n">
        <x:f>_xlfn.PERCENTILE.INC(F13:F1012,0.1)</x:f>
        <x:v>44.25</x:v>
      </x:c>
      <x:c r="N8" t="n">
        <x:f>_xlfn.PERCENTILE.INC(G13:G1012,0.1)</x:f>
        <x:v>-10.75</x:v>
      </x:c>
    </x:row>
    <x:row r="9">
      <x:c r="A9" t="str">
        <x:v>Recuperación GBP</x:v>
      </x:c>
      <x:c r="B9" t="n">
        <x:f>Modelo_fijo!B9</x:f>
        <x:v>0.3</x:v>
      </x:c>
      <x:c r="K9" t="str">
        <x:v>Probabilidad de excedente</x:v>
      </x:c>
      <x:c r="L9" s="14" t="n">
        <x:f>COUNTIF($D$13:$D$1012,"&lt;"&amp;$B$4)/1000</x:f>
        <x:v>0.445</x:v>
      </x:c>
      <x:c r="M9" s="14" t="n">
        <x:f>COUNTIF($D$13:$D$1012,"&lt;"&amp;$B$5)/1000</x:f>
        <x:v>0.611</x:v>
      </x:c>
      <x:c r="N9" s="14" t="n">
        <x:f>COUNTIF($D$13:$D$1012,"&lt;"&amp;$B$6)/1000</x:f>
        <x:v>0.793</x:v>
      </x:c>
    </x:row>
    <x:row r="12" ht="27" customHeight="1">
      <x:c r="A12" s="11" t="str">
        <x:v>Iteración</x:v>
      </x:c>
      <x:c r="B12" s="11" t="str">
        <x:v>u aleatorio</x:v>
      </x:c>
      <x:c r="C12" s="11" t="str">
        <x:v>Semana elegida</x:v>
      </x:c>
      <x:c r="D12" s="11" t="str">
        <x:v>Ventas muestra</x:v>
      </x:c>
      <x:c r="E12" s="11" t="str">
        <x:v>Beneficio Q1</x:v>
      </x:c>
      <x:c r="F12" s="11" t="str">
        <x:v>Beneficio Q2</x:v>
      </x:c>
      <x:c r="G12" s="11" t="str">
        <x:v>Beneficio Q3</x:v>
      </x:c>
      <x:c r="H12" s="11" t="str">
        <x:v>Faltante Q2</x:v>
      </x:c>
      <x:c r="I12" s="11" t="str">
        <x:v>Excedente Q2</x:v>
      </x:c>
      <x:c r="K12" t="str">
        <x:v>Cómo interpretarlo</x:v>
      </x:c>
      <x:c r="L12" t="str"/>
      <x:c r="M12" t="str"/>
      <x:c r="N12" t="str"/>
    </x:row>
    <x:row r="13">
      <x:c r="A13" t="n">
        <x:f>1</x:f>
        <x:v>1</x:v>
      </x:c>
      <x:c r="B13" t="n">
        <x:f>RAND()</x:f>
        <x:v>0.7778002812283273</x:v>
      </x:c>
      <x:c r="C13" t="n">
        <x:f>MIN(47,INT(B13*47)+1)</x:f>
        <x:v>37</x:v>
      </x:c>
      <x:c r="D13" t="n">
        <x:f>INDEX(Datos_47_semanas!$B$4:$B$50,C13)</x:f>
        <x:v>299</x:v>
      </x:c>
      <x:c r="E13" t="n">
        <x:f>MIN($B$4,D13)*$B$7+MAX($B$4-D13,0)*$B$9-$B$4*$B$8</x:f>
        <x:v>200</x:v>
      </x:c>
      <x:c r="F13" t="n">
        <x:f>MIN($B$5,D13)*$B$7+MAX($B$5-D13,0)*$B$9-$B$5*$B$8</x:f>
        <x:v>238.64999999999998</x:v>
      </x:c>
      <x:c r="G13" t="n">
        <x:f>MIN($B$6,D13)*$B$7+MAX($B$6-D13,0)*$B$9-$B$6*$B$8</x:f>
        <x:v>183.64999999999998</x:v>
      </x:c>
      <x:c r="H13" t="n">
        <x:f>MAX(D13-$B$5,0)</x:f>
        <x:v>0</x:v>
      </x:c>
      <x:c r="I13" t="n">
        <x:f>MAX($B$5-D13,0)</x:f>
        <x:v>1</x:v>
      </x:c>
      <x:c r="K13" t="str">
        <x:v>Esta simulación toma con reemplazo ventas de 47 semanas observadas.</x:v>
      </x:c>
      <x:c r="L13" t="str"/>
      <x:c r="M13" t="str"/>
      <x:c r="N13" t="str"/>
    </x:row>
    <x:row r="14">
      <x:c r="A14" t="n">
        <x:f>2</x:f>
        <x:v>2</x:v>
      </x:c>
      <x:c r="B14" t="n">
        <x:f>RAND()</x:f>
        <x:v>0.7110315288978009</x:v>
      </x:c>
      <x:c r="C14" t="n">
        <x:f>MIN(47,INT(B14*47)+1)</x:f>
        <x:v>34</x:v>
      </x:c>
      <x:c r="D14" t="n">
        <x:f>INDEX(Datos_47_semanas!$B$4:$B$50,C14)</x:f>
        <x:v>281</x:v>
      </x:c>
      <x:c r="E14" t="n">
        <x:f>MIN($B$4,D14)*$B$7+MAX($B$4-D14,0)*$B$9-$B$4*$B$8</x:f>
        <x:v>200</x:v>
      </x:c>
      <x:c r="F14" t="n">
        <x:f>MIN($B$5,D14)*$B$7+MAX($B$5-D14,0)*$B$9-$B$5*$B$8</x:f>
        <x:v>214.34999999999997</x:v>
      </x:c>
      <x:c r="G14" t="n">
        <x:f>MIN($B$6,D14)*$B$7+MAX($B$6-D14,0)*$B$9-$B$6*$B$8</x:f>
        <x:v>159.34999999999997</x:v>
      </x:c>
      <x:c r="H14" t="n">
        <x:f>MAX(D14-$B$5,0)</x:f>
        <x:v>0</x:v>
      </x:c>
      <x:c r="I14" t="n">
        <x:f>MAX($B$5-D14,0)</x:f>
        <x:v>19</x:v>
      </x:c>
      <x:c r="K14" t="str">
        <x:v>F9 recalcula 1,000 iteraciones; comparta resultados aproximados.</x:v>
      </x:c>
      <x:c r="L14" t="str"/>
      <x:c r="M14" t="str"/>
      <x:c r="N14" t="str"/>
    </x:row>
    <x:row r="15">
      <x:c r="A15" t="n">
        <x:f>3</x:f>
        <x:v>3</x:v>
      </x:c>
      <x:c r="B15" t="n">
        <x:f>RAND()</x:f>
        <x:v>0.3974807541058534</x:v>
      </x:c>
      <x:c r="C15" t="n">
        <x:f>MIN(47,INT(B15*47)+1)</x:f>
        <x:v>19</x:v>
      </x:c>
      <x:c r="D15" t="n">
        <x:f>INDEX(Datos_47_semanas!$B$4:$B$50,C15)</x:f>
        <x:v>470</x:v>
      </x:c>
      <x:c r="E15" t="n">
        <x:f>MIN($B$4,D15)*$B$7+MAX($B$4-D15,0)*$B$9-$B$4*$B$8</x:f>
        <x:v>200</x:v>
      </x:c>
      <x:c r="F15" t="n">
        <x:f>MIN($B$5,D15)*$B$7+MAX($B$5-D15,0)*$B$9-$B$5*$B$8</x:f>
        <x:v>240</x:v>
      </x:c>
      <x:c r="G15" t="n">
        <x:f>MIN($B$6,D15)*$B$7+MAX($B$6-D15,0)*$B$9-$B$6*$B$8</x:f>
        <x:v>320</x:v>
      </x:c>
      <x:c r="H15" t="n">
        <x:f>MAX(D15-$B$5,0)</x:f>
        <x:v>170</x:v>
      </x:c>
      <x:c r="I15" t="n">
        <x:f>MAX($B$5-D15,0)</x:f>
        <x:v>0</x:v>
      </x:c>
      <x:c r="K15" t="str">
        <x:v>NO incorpora demanda perdida ni garantiza ventas futuras.</x:v>
      </x:c>
      <x:c r="L15" t="str"/>
      <x:c r="M15" t="str"/>
      <x:c r="N15" t="str"/>
    </x:row>
    <x:row r="16">
      <x:c r="A16" t="n">
        <x:f>4</x:f>
        <x:v>4</x:v>
      </x:c>
      <x:c r="B16" t="n">
        <x:f>RAND()</x:f>
        <x:v>0.9724200901737935</x:v>
      </x:c>
      <x:c r="C16" t="n">
        <x:f>MIN(47,INT(B16*47)+1)</x:f>
        <x:v>46</x:v>
      </x:c>
      <x:c r="D16" t="n">
        <x:f>INDEX(Datos_47_semanas!$B$4:$B$50,C16)</x:f>
        <x:v>449</x:v>
      </x:c>
      <x:c r="E16" t="n">
        <x:f>MIN($B$4,D16)*$B$7+MAX($B$4-D16,0)*$B$9-$B$4*$B$8</x:f>
        <x:v>200</x:v>
      </x:c>
      <x:c r="F16" t="n">
        <x:f>MIN($B$5,D16)*$B$7+MAX($B$5-D16,0)*$B$9-$B$5*$B$8</x:f>
        <x:v>240</x:v>
      </x:c>
      <x:c r="G16" t="n">
        <x:f>MIN($B$6,D16)*$B$7+MAX($B$6-D16,0)*$B$9-$B$6*$B$8</x:f>
        <x:v>320</x:v>
      </x:c>
      <x:c r="H16" t="n">
        <x:f>MAX(D16-$B$5,0)</x:f>
        <x:v>149</x:v>
      </x:c>
      <x:c r="I16" t="n">
        <x:f>MAX($B$5-D16,0)</x:f>
        <x:v>0</x:v>
      </x:c>
    </x:row>
    <x:row r="17">
      <x:c r="A17" t="n">
        <x:f>5</x:f>
        <x:v>5</x:v>
      </x:c>
      <x:c r="B17" t="n">
        <x:f>RAND()</x:f>
        <x:v>0.7693493795410614</x:v>
      </x:c>
      <x:c r="C17" t="n">
        <x:f>MIN(47,INT(B17*47)+1)</x:f>
        <x:v>37</x:v>
      </x:c>
      <x:c r="D17" t="n">
        <x:f>INDEX(Datos_47_semanas!$B$4:$B$50,C17)</x:f>
        <x:v>299</x:v>
      </x:c>
      <x:c r="E17" t="n">
        <x:f>MIN($B$4,D17)*$B$7+MAX($B$4-D17,0)*$B$9-$B$4*$B$8</x:f>
        <x:v>200</x:v>
      </x:c>
      <x:c r="F17" t="n">
        <x:f>MIN($B$5,D17)*$B$7+MAX($B$5-D17,0)*$B$9-$B$5*$B$8</x:f>
        <x:v>238.64999999999998</x:v>
      </x:c>
      <x:c r="G17" t="n">
        <x:f>MIN($B$6,D17)*$B$7+MAX($B$6-D17,0)*$B$9-$B$6*$B$8</x:f>
        <x:v>183.64999999999998</x:v>
      </x:c>
      <x:c r="H17" t="n">
        <x:f>MAX(D17-$B$5,0)</x:f>
        <x:v>0</x:v>
      </x:c>
      <x:c r="I17" t="n">
        <x:f>MAX($B$5-D17,0)</x:f>
        <x:v>1</x:v>
      </x:c>
    </x:row>
    <x:row r="18">
      <x:c r="A18" t="n">
        <x:f>6</x:f>
        <x:v>6</x:v>
      </x:c>
      <x:c r="B18" t="n">
        <x:f>RAND()</x:f>
        <x:v>0.15560313205642107</x:v>
      </x:c>
      <x:c r="C18" t="n">
        <x:f>MIN(47,INT(B18*47)+1)</x:f>
        <x:v>8</x:v>
      </x:c>
      <x:c r="D18" t="n">
        <x:f>INDEX(Datos_47_semanas!$B$4:$B$50,C18)</x:f>
        <x:v>259</x:v>
      </x:c>
      <x:c r="E18" t="n">
        <x:f>MIN($B$4,D18)*$B$7+MAX($B$4-D18,0)*$B$9-$B$4*$B$8</x:f>
        <x:v>200</x:v>
      </x:c>
      <x:c r="F18" t="n">
        <x:f>MIN($B$5,D18)*$B$7+MAX($B$5-D18,0)*$B$9-$B$5*$B$8</x:f>
        <x:v>184.64999999999998</x:v>
      </x:c>
      <x:c r="G18" t="n">
        <x:f>MIN($B$6,D18)*$B$7+MAX($B$6-D18,0)*$B$9-$B$6*$B$8</x:f>
        <x:v>129.64999999999998</x:v>
      </x:c>
      <x:c r="H18" t="n">
        <x:f>MAX(D18-$B$5,0)</x:f>
        <x:v>0</x:v>
      </x:c>
      <x:c r="I18" t="n">
        <x:f>MAX($B$5-D18,0)</x:f>
        <x:v>41</x:v>
      </x:c>
    </x:row>
    <x:row r="19">
      <x:c r="A19" t="n">
        <x:f>7</x:f>
        <x:v>7</x:v>
      </x:c>
      <x:c r="B19" t="n">
        <x:f>RAND()</x:f>
        <x:v>0.49081589379833546</x:v>
      </x:c>
      <x:c r="C19" t="n">
        <x:f>MIN(47,INT(B19*47)+1)</x:f>
        <x:v>24</x:v>
      </x:c>
      <x:c r="D19" t="n">
        <x:f>INDEX(Datos_47_semanas!$B$4:$B$50,C19)</x:f>
        <x:v>186</x:v>
      </x:c>
      <x:c r="E19" t="n">
        <x:f>MIN($B$4,D19)*$B$7+MAX($B$4-D19,0)*$B$9-$B$4*$B$8</x:f>
        <x:v>113.59999999999997</x:v>
      </x:c>
      <x:c r="F19" t="n">
        <x:f>MIN($B$5,D19)*$B$7+MAX($B$5-D19,0)*$B$9-$B$5*$B$8</x:f>
        <x:v>86.09999999999997</x:v>
      </x:c>
      <x:c r="G19" t="n">
        <x:f>MIN($B$6,D19)*$B$7+MAX($B$6-D19,0)*$B$9-$B$6*$B$8</x:f>
        <x:v>31.099999999999966</x:v>
      </x:c>
      <x:c r="H19" t="n">
        <x:f>MAX(D19-$B$5,0)</x:f>
        <x:v>0</x:v>
      </x:c>
      <x:c r="I19" t="n">
        <x:f>MAX($B$5-D19,0)</x:f>
        <x:v>114</x:v>
      </x:c>
    </x:row>
    <x:row r="20">
      <x:c r="A20" t="n">
        <x:f>8</x:f>
        <x:v>8</x:v>
      </x:c>
      <x:c r="B20" t="n">
        <x:f>RAND()</x:f>
        <x:v>0.03248664603931939</x:v>
      </x:c>
      <x:c r="C20" t="n">
        <x:f>MIN(47,INT(B20*47)+1)</x:f>
        <x:v>2</x:v>
      </x:c>
      <x:c r="D20" t="n">
        <x:f>INDEX(Datos_47_semanas!$B$4:$B$50,C20)</x:f>
        <x:v>282</x:v>
      </x:c>
      <x:c r="E20" t="n">
        <x:f>MIN($B$4,D20)*$B$7+MAX($B$4-D20,0)*$B$9-$B$4*$B$8</x:f>
        <x:v>200</x:v>
      </x:c>
      <x:c r="F20" t="n">
        <x:f>MIN($B$5,D20)*$B$7+MAX($B$5-D20,0)*$B$9-$B$5*$B$8</x:f>
        <x:v>215.69999999999993</x:v>
      </x:c>
      <x:c r="G20" t="n">
        <x:f>MIN($B$6,D20)*$B$7+MAX($B$6-D20,0)*$B$9-$B$6*$B$8</x:f>
        <x:v>160.69999999999993</x:v>
      </x:c>
      <x:c r="H20" t="n">
        <x:f>MAX(D20-$B$5,0)</x:f>
        <x:v>0</x:v>
      </x:c>
      <x:c r="I20" t="n">
        <x:f>MAX($B$5-D20,0)</x:f>
        <x:v>18</x:v>
      </x:c>
    </x:row>
    <x:row r="21">
      <x:c r="A21" t="n">
        <x:f>9</x:f>
        <x:v>9</x:v>
      </x:c>
      <x:c r="B21" t="n">
        <x:f>RAND()</x:f>
        <x:v>0.6732585228049539</x:v>
      </x:c>
      <x:c r="C21" t="n">
        <x:f>MIN(47,INT(B21*47)+1)</x:f>
        <x:v>32</x:v>
      </x:c>
      <x:c r="D21" t="n">
        <x:f>INDEX(Datos_47_semanas!$B$4:$B$50,C21)</x:f>
        <x:v>575</x:v>
      </x:c>
      <x:c r="E21" t="n">
        <x:f>MIN($B$4,D21)*$B$7+MAX($B$4-D21,0)*$B$9-$B$4*$B$8</x:f>
        <x:v>200</x:v>
      </x:c>
      <x:c r="F21" t="n">
        <x:f>MIN($B$5,D21)*$B$7+MAX($B$5-D21,0)*$B$9-$B$5*$B$8</x:f>
        <x:v>240</x:v>
      </x:c>
      <x:c r="G21" t="n">
        <x:f>MIN($B$6,D21)*$B$7+MAX($B$6-D21,0)*$B$9-$B$6*$B$8</x:f>
        <x:v>320</x:v>
      </x:c>
      <x:c r="H21" t="n">
        <x:f>MAX(D21-$B$5,0)</x:f>
        <x:v>275</x:v>
      </x:c>
      <x:c r="I21" t="n">
        <x:f>MAX($B$5-D21,0)</x:f>
        <x:v>0</x:v>
      </x:c>
    </x:row>
    <x:row r="22">
      <x:c r="A22" t="n">
        <x:f>10</x:f>
        <x:v>10</x:v>
      </x:c>
      <x:c r="B22" t="n">
        <x:f>RAND()</x:f>
        <x:v>0.43917704664394</x:v>
      </x:c>
      <x:c r="C22" t="n">
        <x:f>MIN(47,INT(B22*47)+1)</x:f>
        <x:v>21</x:v>
      </x:c>
      <x:c r="D22" t="n">
        <x:f>INDEX(Datos_47_semanas!$B$4:$B$50,C22)</x:f>
        <x:v>424</x:v>
      </x:c>
      <x:c r="E22" t="n">
        <x:f>MIN($B$4,D22)*$B$7+MAX($B$4-D22,0)*$B$9-$B$4*$B$8</x:f>
        <x:v>200</x:v>
      </x:c>
      <x:c r="F22" t="n">
        <x:f>MIN($B$5,D22)*$B$7+MAX($B$5-D22,0)*$B$9-$B$5*$B$8</x:f>
        <x:v>240</x:v>
      </x:c>
      <x:c r="G22" t="n">
        <x:f>MIN($B$6,D22)*$B$7+MAX($B$6-D22,0)*$B$9-$B$6*$B$8</x:f>
        <x:v>320</x:v>
      </x:c>
      <x:c r="H22" t="n">
        <x:f>MAX(D22-$B$5,0)</x:f>
        <x:v>124</x:v>
      </x:c>
      <x:c r="I22" t="n">
        <x:f>MAX($B$5-D22,0)</x:f>
        <x:v>0</x:v>
      </x:c>
    </x:row>
    <x:row r="23">
      <x:c r="A23" t="n">
        <x:f>11</x:f>
        <x:v>11</x:v>
      </x:c>
      <x:c r="B23" t="n">
        <x:f>RAND()</x:f>
        <x:v>0.09972451153403983</x:v>
      </x:c>
      <x:c r="C23" t="n">
        <x:f>MIN(47,INT(B23*47)+1)</x:f>
        <x:v>5</x:v>
      </x:c>
      <x:c r="D23" t="n">
        <x:f>INDEX(Datos_47_semanas!$B$4:$B$50,C23)</x:f>
        <x:v>347</x:v>
      </x:c>
      <x:c r="E23" t="n">
        <x:f>MIN($B$4,D23)*$B$7+MAX($B$4-D23,0)*$B$9-$B$4*$B$8</x:f>
        <x:v>200</x:v>
      </x:c>
      <x:c r="F23" t="n">
        <x:f>MIN($B$5,D23)*$B$7+MAX($B$5-D23,0)*$B$9-$B$5*$B$8</x:f>
        <x:v>240</x:v>
      </x:c>
      <x:c r="G23" t="n">
        <x:f>MIN($B$6,D23)*$B$7+MAX($B$6-D23,0)*$B$9-$B$6*$B$8</x:f>
        <x:v>248.44999999999993</x:v>
      </x:c>
      <x:c r="H23" t="n">
        <x:f>MAX(D23-$B$5,0)</x:f>
        <x:v>47</x:v>
      </x:c>
      <x:c r="I23" t="n">
        <x:f>MAX($B$5-D23,0)</x:f>
        <x:v>0</x:v>
      </x:c>
    </x:row>
    <x:row r="24">
      <x:c r="A24" t="n">
        <x:f>12</x:f>
        <x:v>12</x:v>
      </x:c>
      <x:c r="B24" t="n">
        <x:f>RAND()</x:f>
        <x:v>0.5468867436071467</x:v>
      </x:c>
      <x:c r="C24" t="n">
        <x:f>MIN(47,INT(B24*47)+1)</x:f>
        <x:v>26</x:v>
      </x:c>
      <x:c r="D24" t="n">
        <x:f>INDEX(Datos_47_semanas!$B$4:$B$50,C24)</x:f>
        <x:v>183</x:v>
      </x:c>
      <x:c r="E24" t="n">
        <x:f>MIN($B$4,D24)*$B$7+MAX($B$4-D24,0)*$B$9-$B$4*$B$8</x:f>
        <x:v>109.55000000000001</x:v>
      </x:c>
      <x:c r="F24" t="n">
        <x:f>MIN($B$5,D24)*$B$7+MAX($B$5-D24,0)*$B$9-$B$5*$B$8</x:f>
        <x:v>82.05000000000001</x:v>
      </x:c>
      <x:c r="G24" t="n">
        <x:f>MIN($B$6,D24)*$B$7+MAX($B$6-D24,0)*$B$9-$B$6*$B$8</x:f>
        <x:v>27.049999999999955</x:v>
      </x:c>
      <x:c r="H24" t="n">
        <x:f>MAX(D24-$B$5,0)</x:f>
        <x:v>0</x:v>
      </x:c>
      <x:c r="I24" t="n">
        <x:f>MAX($B$5-D24,0)</x:f>
        <x:v>117</x:v>
      </x:c>
    </x:row>
    <x:row r="25">
      <x:c r="A25" t="n">
        <x:f>13</x:f>
        <x:v>13</x:v>
      </x:c>
      <x:c r="B25" t="n">
        <x:f>RAND()</x:f>
        <x:v>0.09480273294972819</x:v>
      </x:c>
      <x:c r="C25" t="n">
        <x:f>MIN(47,INT(B25*47)+1)</x:f>
        <x:v>5</x:v>
      </x:c>
      <x:c r="D25" t="n">
        <x:f>INDEX(Datos_47_semanas!$B$4:$B$50,C25)</x:f>
        <x:v>347</x:v>
      </x:c>
      <x:c r="E25" t="n">
        <x:f>MIN($B$4,D25)*$B$7+MAX($B$4-D25,0)*$B$9-$B$4*$B$8</x:f>
        <x:v>200</x:v>
      </x:c>
      <x:c r="F25" t="n">
        <x:f>MIN($B$5,D25)*$B$7+MAX($B$5-D25,0)*$B$9-$B$5*$B$8</x:f>
        <x:v>240</x:v>
      </x:c>
      <x:c r="G25" t="n">
        <x:f>MIN($B$6,D25)*$B$7+MAX($B$6-D25,0)*$B$9-$B$6*$B$8</x:f>
        <x:v>248.44999999999993</x:v>
      </x:c>
      <x:c r="H25" t="n">
        <x:f>MAX(D25-$B$5,0)</x:f>
        <x:v>47</x:v>
      </x:c>
      <x:c r="I25" t="n">
        <x:f>MAX($B$5-D25,0)</x:f>
        <x:v>0</x:v>
      </x:c>
    </x:row>
    <x:row r="26">
      <x:c r="A26" t="n">
        <x:f>14</x:f>
        <x:v>14</x:v>
      </x:c>
      <x:c r="B26" t="n">
        <x:f>RAND()</x:f>
        <x:v>0.19898535295203568</x:v>
      </x:c>
      <x:c r="C26" t="n">
        <x:f>MIN(47,INT(B26*47)+1)</x:f>
        <x:v>10</x:v>
      </x:c>
      <x:c r="D26" t="n">
        <x:f>INDEX(Datos_47_semanas!$B$4:$B$50,C26)</x:f>
        <x:v>98</x:v>
      </x:c>
      <x:c r="E26" t="n">
        <x:f>MIN($B$4,D26)*$B$7+MAX($B$4-D26,0)*$B$9-$B$4*$B$8</x:f>
        <x:v>-5.200000000000017</x:v>
      </x:c>
      <x:c r="F26" t="n">
        <x:f>MIN($B$5,D26)*$B$7+MAX($B$5-D26,0)*$B$9-$B$5*$B$8</x:f>
        <x:v>-32.70000000000002</x:v>
      </x:c>
      <x:c r="G26" t="n">
        <x:f>MIN($B$6,D26)*$B$7+MAX($B$6-D26,0)*$B$9-$B$6*$B$8</x:f>
        <x:v>-87.70000000000002</x:v>
      </x:c>
      <x:c r="H26" t="n">
        <x:f>MAX(D26-$B$5,0)</x:f>
        <x:v>0</x:v>
      </x:c>
      <x:c r="I26" t="n">
        <x:f>MAX($B$5-D26,0)</x:f>
        <x:v>202</x:v>
      </x:c>
    </x:row>
    <x:row r="27">
      <x:c r="A27" t="n">
        <x:f>15</x:f>
        <x:v>15</x:v>
      </x:c>
      <x:c r="B27" t="n">
        <x:f>RAND()</x:f>
        <x:v>0.07385738083566185</x:v>
      </x:c>
      <x:c r="C27" t="n">
        <x:f>MIN(47,INT(B27*47)+1)</x:f>
        <x:v>4</x:v>
      </x:c>
      <x:c r="D27" t="n">
        <x:f>INDEX(Datos_47_semanas!$B$4:$B$50,C27)</x:f>
        <x:v>161</x:v>
      </x:c>
      <x:c r="E27" t="n">
        <x:f>MIN($B$4,D27)*$B$7+MAX($B$4-D27,0)*$B$9-$B$4*$B$8</x:f>
        <x:v>79.84999999999997</x:v>
      </x:c>
      <x:c r="F27" t="n">
        <x:f>MIN($B$5,D27)*$B$7+MAX($B$5-D27,0)*$B$9-$B$5*$B$8</x:f>
        <x:v>52.349999999999966</x:v>
      </x:c>
      <x:c r="G27" t="n">
        <x:f>MIN($B$6,D27)*$B$7+MAX($B$6-D27,0)*$B$9-$B$6*$B$8</x:f>
        <x:v>-2.650000000000034</x:v>
      </x:c>
      <x:c r="H27" t="n">
        <x:f>MAX(D27-$B$5,0)</x:f>
        <x:v>0</x:v>
      </x:c>
      <x:c r="I27" t="n">
        <x:f>MAX($B$5-D27,0)</x:f>
        <x:v>139</x:v>
      </x:c>
    </x:row>
    <x:row r="28">
      <x:c r="A28" t="n">
        <x:f>16</x:f>
        <x:v>16</x:v>
      </x:c>
      <x:c r="B28" t="n">
        <x:f>RAND()</x:f>
        <x:v>0.013217451383760626</x:v>
      </x:c>
      <x:c r="C28" t="n">
        <x:f>MIN(47,INT(B28*47)+1)</x:f>
        <x:v>1</x:v>
      </x:c>
      <x:c r="D28" t="n">
        <x:f>INDEX(Datos_47_semanas!$B$4:$B$50,C28)</x:f>
        <x:v>418</x:v>
      </x:c>
      <x:c r="E28" t="n">
        <x:f>MIN($B$4,D28)*$B$7+MAX($B$4-D28,0)*$B$9-$B$4*$B$8</x:f>
        <x:v>200</x:v>
      </x:c>
      <x:c r="F28" t="n">
        <x:f>MIN($B$5,D28)*$B$7+MAX($B$5-D28,0)*$B$9-$B$5*$B$8</x:f>
        <x:v>240</x:v>
      </x:c>
      <x:c r="G28" t="n">
        <x:f>MIN($B$6,D28)*$B$7+MAX($B$6-D28,0)*$B$9-$B$6*$B$8</x:f>
        <x:v>320</x:v>
      </x:c>
      <x:c r="H28" t="n">
        <x:f>MAX(D28-$B$5,0)</x:f>
        <x:v>118</x:v>
      </x:c>
      <x:c r="I28" t="n">
        <x:f>MAX($B$5-D28,0)</x:f>
        <x:v>0</x:v>
      </x:c>
    </x:row>
    <x:row r="29">
      <x:c r="A29" t="n">
        <x:f>17</x:f>
        <x:v>17</x:v>
      </x:c>
      <x:c r="B29" t="n">
        <x:f>RAND()</x:f>
        <x:v>0.3198940950671866</x:v>
      </x:c>
      <x:c r="C29" t="n">
        <x:f>MIN(47,INT(B29*47)+1)</x:f>
        <x:v>16</x:v>
      </x:c>
      <x:c r="D29" t="n">
        <x:f>INDEX(Datos_47_semanas!$B$4:$B$50,C29)</x:f>
        <x:v>318</x:v>
      </x:c>
      <x:c r="E29" t="n">
        <x:f>MIN($B$4,D29)*$B$7+MAX($B$4-D29,0)*$B$9-$B$4*$B$8</x:f>
        <x:v>200</x:v>
      </x:c>
      <x:c r="F29" t="n">
        <x:f>MIN($B$5,D29)*$B$7+MAX($B$5-D29,0)*$B$9-$B$5*$B$8</x:f>
        <x:v>240</x:v>
      </x:c>
      <x:c r="G29" t="n">
        <x:f>MIN($B$6,D29)*$B$7+MAX($B$6-D29,0)*$B$9-$B$6*$B$8</x:f>
        <x:v>209.29999999999995</x:v>
      </x:c>
      <x:c r="H29" t="n">
        <x:f>MAX(D29-$B$5,0)</x:f>
        <x:v>18</x:v>
      </x:c>
      <x:c r="I29" t="n">
        <x:f>MAX($B$5-D29,0)</x:f>
        <x:v>0</x:v>
      </x:c>
    </x:row>
    <x:row r="30">
      <x:c r="A30" t="n">
        <x:f>18</x:f>
        <x:v>18</x:v>
      </x:c>
      <x:c r="B30" t="n">
        <x:f>RAND()</x:f>
        <x:v>0.28305470615275363</x:v>
      </x:c>
      <x:c r="C30" t="n">
        <x:f>MIN(47,INT(B30*47)+1)</x:f>
        <x:v>14</x:v>
      </x:c>
      <x:c r="D30" t="n">
        <x:f>INDEX(Datos_47_semanas!$B$4:$B$50,C30)</x:f>
        <x:v>187</x:v>
      </x:c>
      <x:c r="E30" t="n">
        <x:f>MIN($B$4,D30)*$B$7+MAX($B$4-D30,0)*$B$9-$B$4*$B$8</x:f>
        <x:v>114.94999999999999</x:v>
      </x:c>
      <x:c r="F30" t="n">
        <x:f>MIN($B$5,D30)*$B$7+MAX($B$5-D30,0)*$B$9-$B$5*$B$8</x:f>
        <x:v>87.44999999999999</x:v>
      </x:c>
      <x:c r="G30" t="n">
        <x:f>MIN($B$6,D30)*$B$7+MAX($B$6-D30,0)*$B$9-$B$6*$B$8</x:f>
        <x:v>32.44999999999999</x:v>
      </x:c>
      <x:c r="H30" t="n">
        <x:f>MAX(D30-$B$5,0)</x:f>
        <x:v>0</x:v>
      </x:c>
      <x:c r="I30" t="n">
        <x:f>MAX($B$5-D30,0)</x:f>
        <x:v>113</x:v>
      </x:c>
    </x:row>
    <x:row r="31">
      <x:c r="A31" t="n">
        <x:f>19</x:f>
        <x:v>19</x:v>
      </x:c>
      <x:c r="B31" t="n">
        <x:f>RAND()</x:f>
        <x:v>0.48664264972052895</x:v>
      </x:c>
      <x:c r="C31" t="n">
        <x:f>MIN(47,INT(B31*47)+1)</x:f>
        <x:v>23</x:v>
      </x:c>
      <x:c r="D31" t="n">
        <x:f>INDEX(Datos_47_semanas!$B$4:$B$50,C31)</x:f>
        <x:v>565</x:v>
      </x:c>
      <x:c r="E31" t="n">
        <x:f>MIN($B$4,D31)*$B$7+MAX($B$4-D31,0)*$B$9-$B$4*$B$8</x:f>
        <x:v>200</x:v>
      </x:c>
      <x:c r="F31" t="n">
        <x:f>MIN($B$5,D31)*$B$7+MAX($B$5-D31,0)*$B$9-$B$5*$B$8</x:f>
        <x:v>240</x:v>
      </x:c>
      <x:c r="G31" t="n">
        <x:f>MIN($B$6,D31)*$B$7+MAX($B$6-D31,0)*$B$9-$B$6*$B$8</x:f>
        <x:v>320</x:v>
      </x:c>
      <x:c r="H31" t="n">
        <x:f>MAX(D31-$B$5,0)</x:f>
        <x:v>265</x:v>
      </x:c>
      <x:c r="I31" t="n">
        <x:f>MAX($B$5-D31,0)</x:f>
        <x:v>0</x:v>
      </x:c>
    </x:row>
    <x:row r="32">
      <x:c r="A32" t="n">
        <x:f>20</x:f>
        <x:v>20</x:v>
      </x:c>
      <x:c r="B32" t="n">
        <x:f>RAND()</x:f>
        <x:v>0.17218710700956397</x:v>
      </x:c>
      <x:c r="C32" t="n">
        <x:f>MIN(47,INT(B32*47)+1)</x:f>
        <x:v>9</x:v>
      </x:c>
      <x:c r="D32" t="n">
        <x:f>INDEX(Datos_47_semanas!$B$4:$B$50,C32)</x:f>
        <x:v>155</x:v>
      </x:c>
      <x:c r="E32" t="n">
        <x:f>MIN($B$4,D32)*$B$7+MAX($B$4-D32,0)*$B$9-$B$4*$B$8</x:f>
        <x:v>71.75</x:v>
      </x:c>
      <x:c r="F32" t="n">
        <x:f>MIN($B$5,D32)*$B$7+MAX($B$5-D32,0)*$B$9-$B$5*$B$8</x:f>
        <x:v>44.25</x:v>
      </x:c>
      <x:c r="G32" t="n">
        <x:f>MIN($B$6,D32)*$B$7+MAX($B$6-D32,0)*$B$9-$B$6*$B$8</x:f>
        <x:v>-10.75</x:v>
      </x:c>
      <x:c r="H32" t="n">
        <x:f>MAX(D32-$B$5,0)</x:f>
        <x:v>0</x:v>
      </x:c>
      <x:c r="I32" t="n">
        <x:f>MAX($B$5-D32,0)</x:f>
        <x:v>145</x:v>
      </x:c>
    </x:row>
    <x:row r="33">
      <x:c r="A33" t="n">
        <x:f>21</x:f>
        <x:v>21</x:v>
      </x:c>
      <x:c r="B33" t="n">
        <x:f>RAND()</x:f>
        <x:v>0.25736616029511805</x:v>
      </x:c>
      <x:c r="C33" t="n">
        <x:f>MIN(47,INT(B33*47)+1)</x:f>
        <x:v>13</x:v>
      </x:c>
      <x:c r="D33" t="n">
        <x:f>INDEX(Datos_47_semanas!$B$4:$B$50,C33)</x:f>
        <x:v>517</x:v>
      </x:c>
      <x:c r="E33" t="n">
        <x:f>MIN($B$4,D33)*$B$7+MAX($B$4-D33,0)*$B$9-$B$4*$B$8</x:f>
        <x:v>200</x:v>
      </x:c>
      <x:c r="F33" t="n">
        <x:f>MIN($B$5,D33)*$B$7+MAX($B$5-D33,0)*$B$9-$B$5*$B$8</x:f>
        <x:v>240</x:v>
      </x:c>
      <x:c r="G33" t="n">
        <x:f>MIN($B$6,D33)*$B$7+MAX($B$6-D33,0)*$B$9-$B$6*$B$8</x:f>
        <x:v>320</x:v>
      </x:c>
      <x:c r="H33" t="n">
        <x:f>MAX(D33-$B$5,0)</x:f>
        <x:v>217</x:v>
      </x:c>
      <x:c r="I33" t="n">
        <x:f>MAX($B$5-D33,0)</x:f>
        <x:v>0</x:v>
      </x:c>
    </x:row>
    <x:row r="34">
      <x:c r="A34" t="n">
        <x:f>22</x:f>
        <x:v>22</x:v>
      </x:c>
      <x:c r="B34" t="n">
        <x:f>RAND()</x:f>
        <x:v>0.7239571743554364</x:v>
      </x:c>
      <x:c r="C34" t="n">
        <x:f>MIN(47,INT(B34*47)+1)</x:f>
        <x:v>35</x:v>
      </x:c>
      <x:c r="D34" t="n">
        <x:f>INDEX(Datos_47_semanas!$B$4:$B$50,C34)</x:f>
        <x:v>192</x:v>
      </x:c>
      <x:c r="E34" t="n">
        <x:f>MIN($B$4,D34)*$B$7+MAX($B$4-D34,0)*$B$9-$B$4*$B$8</x:f>
        <x:v>121.69999999999993</x:v>
      </x:c>
      <x:c r="F34" t="n">
        <x:f>MIN($B$5,D34)*$B$7+MAX($B$5-D34,0)*$B$9-$B$5*$B$8</x:f>
        <x:v>94.19999999999993</x:v>
      </x:c>
      <x:c r="G34" t="n">
        <x:f>MIN($B$6,D34)*$B$7+MAX($B$6-D34,0)*$B$9-$B$6*$B$8</x:f>
        <x:v>39.19999999999993</x:v>
      </x:c>
      <x:c r="H34" t="n">
        <x:f>MAX(D34-$B$5,0)</x:f>
        <x:v>0</x:v>
      </x:c>
      <x:c r="I34" t="n">
        <x:f>MAX($B$5-D34,0)</x:f>
        <x:v>108</x:v>
      </x:c>
    </x:row>
    <x:row r="35">
      <x:c r="A35" t="n">
        <x:f>23</x:f>
        <x:v>23</x:v>
      </x:c>
      <x:c r="B35" t="n">
        <x:f>RAND()</x:f>
        <x:v>0.6702614086807962</x:v>
      </x:c>
      <x:c r="C35" t="n">
        <x:f>MIN(47,INT(B35*47)+1)</x:f>
        <x:v>32</x:v>
      </x:c>
      <x:c r="D35" t="n">
        <x:f>INDEX(Datos_47_semanas!$B$4:$B$50,C35)</x:f>
        <x:v>575</x:v>
      </x:c>
      <x:c r="E35" t="n">
        <x:f>MIN($B$4,D35)*$B$7+MAX($B$4-D35,0)*$B$9-$B$4*$B$8</x:f>
        <x:v>200</x:v>
      </x:c>
      <x:c r="F35" t="n">
        <x:f>MIN($B$5,D35)*$B$7+MAX($B$5-D35,0)*$B$9-$B$5*$B$8</x:f>
        <x:v>240</x:v>
      </x:c>
      <x:c r="G35" t="n">
        <x:f>MIN($B$6,D35)*$B$7+MAX($B$6-D35,0)*$B$9-$B$6*$B$8</x:f>
        <x:v>320</x:v>
      </x:c>
      <x:c r="H35" t="n">
        <x:f>MAX(D35-$B$5,0)</x:f>
        <x:v>275</x:v>
      </x:c>
      <x:c r="I35" t="n">
        <x:f>MAX($B$5-D35,0)</x:f>
        <x:v>0</x:v>
      </x:c>
    </x:row>
    <x:row r="36">
      <x:c r="A36" t="n">
        <x:f>24</x:f>
        <x:v>24</x:v>
      </x:c>
      <x:c r="B36" t="n">
        <x:f>RAND()</x:f>
        <x:v>0.13454281750766728</x:v>
      </x:c>
      <x:c r="C36" t="n">
        <x:f>MIN(47,INT(B36*47)+1)</x:f>
        <x:v>7</x:v>
      </x:c>
      <x:c r="D36" t="n">
        <x:f>INDEX(Datos_47_semanas!$B$4:$B$50,C36)</x:f>
        <x:v>249</x:v>
      </x:c>
      <x:c r="E36" t="n">
        <x:f>MIN($B$4,D36)*$B$7+MAX($B$4-D36,0)*$B$9-$B$4*$B$8</x:f>
        <x:v>198.64999999999998</x:v>
      </x:c>
      <x:c r="F36" t="n">
        <x:f>MIN($B$5,D36)*$B$7+MAX($B$5-D36,0)*$B$9-$B$5*$B$8</x:f>
        <x:v>171.14999999999998</x:v>
      </x:c>
      <x:c r="G36" t="n">
        <x:f>MIN($B$6,D36)*$B$7+MAX($B$6-D36,0)*$B$9-$B$6*$B$8</x:f>
        <x:v>116.14999999999998</x:v>
      </x:c>
      <x:c r="H36" t="n">
        <x:f>MAX(D36-$B$5,0)</x:f>
        <x:v>0</x:v>
      </x:c>
      <x:c r="I36" t="n">
        <x:f>MAX($B$5-D36,0)</x:f>
        <x:v>51</x:v>
      </x:c>
    </x:row>
    <x:row r="37">
      <x:c r="A37" t="n">
        <x:f>25</x:f>
        <x:v>25</x:v>
      </x:c>
      <x:c r="B37" t="n">
        <x:f>RAND()</x:f>
        <x:v>0.43502594147589824</x:v>
      </x:c>
      <x:c r="C37" t="n">
        <x:f>MIN(47,INT(B37*47)+1)</x:f>
        <x:v>21</x:v>
      </x:c>
      <x:c r="D37" t="n">
        <x:f>INDEX(Datos_47_semanas!$B$4:$B$50,C37)</x:f>
        <x:v>424</x:v>
      </x:c>
      <x:c r="E37" t="n">
        <x:f>MIN($B$4,D37)*$B$7+MAX($B$4-D37,0)*$B$9-$B$4*$B$8</x:f>
        <x:v>200</x:v>
      </x:c>
      <x:c r="F37" t="n">
        <x:f>MIN($B$5,D37)*$B$7+MAX($B$5-D37,0)*$B$9-$B$5*$B$8</x:f>
        <x:v>240</x:v>
      </x:c>
      <x:c r="G37" t="n">
        <x:f>MIN($B$6,D37)*$B$7+MAX($B$6-D37,0)*$B$9-$B$6*$B$8</x:f>
        <x:v>320</x:v>
      </x:c>
      <x:c r="H37" t="n">
        <x:f>MAX(D37-$B$5,0)</x:f>
        <x:v>124</x:v>
      </x:c>
      <x:c r="I37" t="n">
        <x:f>MAX($B$5-D37,0)</x:f>
        <x:v>0</x:v>
      </x:c>
    </x:row>
    <x:row r="38">
      <x:c r="A38" t="n">
        <x:f>26</x:f>
        <x:v>26</x:v>
      </x:c>
      <x:c r="B38" t="n">
        <x:f>RAND()</x:f>
        <x:v>0.8196043454235304</x:v>
      </x:c>
      <x:c r="C38" t="n">
        <x:f>MIN(47,INT(B38*47)+1)</x:f>
        <x:v>39</x:v>
      </x:c>
      <x:c r="D38" t="n">
        <x:f>INDEX(Datos_47_semanas!$B$4:$B$50,C38)</x:f>
        <x:v>228</x:v>
      </x:c>
      <x:c r="E38" t="n">
        <x:f>MIN($B$4,D38)*$B$7+MAX($B$4-D38,0)*$B$9-$B$4*$B$8</x:f>
        <x:v>170.3</x:v>
      </x:c>
      <x:c r="F38" t="n">
        <x:f>MIN($B$5,D38)*$B$7+MAX($B$5-D38,0)*$B$9-$B$5*$B$8</x:f>
        <x:v>142.8</x:v>
      </x:c>
      <x:c r="G38" t="n">
        <x:f>MIN($B$6,D38)*$B$7+MAX($B$6-D38,0)*$B$9-$B$6*$B$8</x:f>
        <x:v>87.80000000000001</x:v>
      </x:c>
      <x:c r="H38" t="n">
        <x:f>MAX(D38-$B$5,0)</x:f>
        <x:v>0</x:v>
      </x:c>
      <x:c r="I38" t="n">
        <x:f>MAX($B$5-D38,0)</x:f>
        <x:v>72</x:v>
      </x:c>
    </x:row>
    <x:row r="39">
      <x:c r="A39" t="n">
        <x:f>27</x:f>
        <x:v>27</x:v>
      </x:c>
      <x:c r="B39" t="n">
        <x:f>RAND()</x:f>
        <x:v>0.46361331024433483</x:v>
      </x:c>
      <x:c r="C39" t="n">
        <x:f>MIN(47,INT(B39*47)+1)</x:f>
        <x:v>22</x:v>
      </x:c>
      <x:c r="D39" t="n">
        <x:f>INDEX(Datos_47_semanas!$B$4:$B$50,C39)</x:f>
        <x:v>171</x:v>
      </x:c>
      <x:c r="E39" t="n">
        <x:f>MIN($B$4,D39)*$B$7+MAX($B$4-D39,0)*$B$9-$B$4*$B$8</x:f>
        <x:v>93.34999999999997</x:v>
      </x:c>
      <x:c r="F39" t="n">
        <x:f>MIN($B$5,D39)*$B$7+MAX($B$5-D39,0)*$B$9-$B$5*$B$8</x:f>
        <x:v>65.84999999999997</x:v>
      </x:c>
      <x:c r="G39" t="n">
        <x:f>MIN($B$6,D39)*$B$7+MAX($B$6-D39,0)*$B$9-$B$6*$B$8</x:f>
        <x:v>10.849999999999966</x:v>
      </x:c>
      <x:c r="H39" t="n">
        <x:f>MAX(D39-$B$5,0)</x:f>
        <x:v>0</x:v>
      </x:c>
      <x:c r="I39" t="n">
        <x:f>MAX($B$5-D39,0)</x:f>
        <x:v>129</x:v>
      </x:c>
    </x:row>
    <x:row r="40">
      <x:c r="A40" t="n">
        <x:f>28</x:f>
        <x:v>28</x:v>
      </x:c>
      <x:c r="B40" t="n">
        <x:f>RAND()</x:f>
        <x:v>0.7775810270495861</x:v>
      </x:c>
      <x:c r="C40" t="n">
        <x:f>MIN(47,INT(B40*47)+1)</x:f>
        <x:v>37</x:v>
      </x:c>
      <x:c r="D40" t="n">
        <x:f>INDEX(Datos_47_semanas!$B$4:$B$50,C40)</x:f>
        <x:v>299</x:v>
      </x:c>
      <x:c r="E40" t="n">
        <x:f>MIN($B$4,D40)*$B$7+MAX($B$4-D40,0)*$B$9-$B$4*$B$8</x:f>
        <x:v>200</x:v>
      </x:c>
      <x:c r="F40" t="n">
        <x:f>MIN($B$5,D40)*$B$7+MAX($B$5-D40,0)*$B$9-$B$5*$B$8</x:f>
        <x:v>238.64999999999998</x:v>
      </x:c>
      <x:c r="G40" t="n">
        <x:f>MIN($B$6,D40)*$B$7+MAX($B$6-D40,0)*$B$9-$B$6*$B$8</x:f>
        <x:v>183.64999999999998</x:v>
      </x:c>
      <x:c r="H40" t="n">
        <x:f>MAX(D40-$B$5,0)</x:f>
        <x:v>0</x:v>
      </x:c>
      <x:c r="I40" t="n">
        <x:f>MAX($B$5-D40,0)</x:f>
        <x:v>1</x:v>
      </x:c>
    </x:row>
    <x:row r="41">
      <x:c r="A41" t="n">
        <x:f>29</x:f>
        <x:v>29</x:v>
      </x:c>
      <x:c r="B41" t="n">
        <x:f>RAND()</x:f>
        <x:v>0.3770584273525577</x:v>
      </x:c>
      <x:c r="C41" t="n">
        <x:f>MIN(47,INT(B41*47)+1)</x:f>
        <x:v>18</x:v>
      </x:c>
      <x:c r="D41" t="n">
        <x:f>INDEX(Datos_47_semanas!$B$4:$B$50,C41)</x:f>
        <x:v>219</x:v>
      </x:c>
      <x:c r="E41" t="n">
        <x:f>MIN($B$4,D41)*$B$7+MAX($B$4-D41,0)*$B$9-$B$4*$B$8</x:f>
        <x:v>158.14999999999998</x:v>
      </x:c>
      <x:c r="F41" t="n">
        <x:f>MIN($B$5,D41)*$B$7+MAX($B$5-D41,0)*$B$9-$B$5*$B$8</x:f>
        <x:v>130.64999999999998</x:v>
      </x:c>
      <x:c r="G41" t="n">
        <x:f>MIN($B$6,D41)*$B$7+MAX($B$6-D41,0)*$B$9-$B$6*$B$8</x:f>
        <x:v>75.64999999999998</x:v>
      </x:c>
      <x:c r="H41" t="n">
        <x:f>MAX(D41-$B$5,0)</x:f>
        <x:v>0</x:v>
      </x:c>
      <x:c r="I41" t="n">
        <x:f>MAX($B$5-D41,0)</x:f>
        <x:v>81</x:v>
      </x:c>
    </x:row>
    <x:row r="42">
      <x:c r="A42" t="n">
        <x:f>30</x:f>
        <x:v>30</x:v>
      </x:c>
      <x:c r="B42" t="n">
        <x:f>RAND()</x:f>
        <x:v>0.013989098873658401</x:v>
      </x:c>
      <x:c r="C42" t="n">
        <x:f>MIN(47,INT(B42*47)+1)</x:f>
        <x:v>1</x:v>
      </x:c>
      <x:c r="D42" t="n">
        <x:f>INDEX(Datos_47_semanas!$B$4:$B$50,C42)</x:f>
        <x:v>418</x:v>
      </x:c>
      <x:c r="E42" t="n">
        <x:f>MIN($B$4,D42)*$B$7+MAX($B$4-D42,0)*$B$9-$B$4*$B$8</x:f>
        <x:v>200</x:v>
      </x:c>
      <x:c r="F42" t="n">
        <x:f>MIN($B$5,D42)*$B$7+MAX($B$5-D42,0)*$B$9-$B$5*$B$8</x:f>
        <x:v>240</x:v>
      </x:c>
      <x:c r="G42" t="n">
        <x:f>MIN($B$6,D42)*$B$7+MAX($B$6-D42,0)*$B$9-$B$6*$B$8</x:f>
        <x:v>320</x:v>
      </x:c>
      <x:c r="H42" t="n">
        <x:f>MAX(D42-$B$5,0)</x:f>
        <x:v>118</x:v>
      </x:c>
      <x:c r="I42" t="n">
        <x:f>MAX($B$5-D42,0)</x:f>
        <x:v>0</x:v>
      </x:c>
    </x:row>
    <x:row r="43">
      <x:c r="A43" t="n">
        <x:f>31</x:f>
        <x:v>31</x:v>
      </x:c>
      <x:c r="B43" t="n">
        <x:f>RAND()</x:f>
        <x:v>0.9594426474499981</x:v>
      </x:c>
      <x:c r="C43" t="n">
        <x:f>MIN(47,INT(B43*47)+1)</x:f>
        <x:v>46</x:v>
      </x:c>
      <x:c r="D43" t="n">
        <x:f>INDEX(Datos_47_semanas!$B$4:$B$50,C43)</x:f>
        <x:v>449</x:v>
      </x:c>
      <x:c r="E43" t="n">
        <x:f>MIN($B$4,D43)*$B$7+MAX($B$4-D43,0)*$B$9-$B$4*$B$8</x:f>
        <x:v>200</x:v>
      </x:c>
      <x:c r="F43" t="n">
        <x:f>MIN($B$5,D43)*$B$7+MAX($B$5-D43,0)*$B$9-$B$5*$B$8</x:f>
        <x:v>240</x:v>
      </x:c>
      <x:c r="G43" t="n">
        <x:f>MIN($B$6,D43)*$B$7+MAX($B$6-D43,0)*$B$9-$B$6*$B$8</x:f>
        <x:v>320</x:v>
      </x:c>
      <x:c r="H43" t="n">
        <x:f>MAX(D43-$B$5,0)</x:f>
        <x:v>149</x:v>
      </x:c>
      <x:c r="I43" t="n">
        <x:f>MAX($B$5-D43,0)</x:f>
        <x:v>0</x:v>
      </x:c>
    </x:row>
    <x:row r="44">
      <x:c r="A44" t="n">
        <x:f>32</x:f>
        <x:v>32</x:v>
      </x:c>
      <x:c r="B44" t="n">
        <x:f>RAND()</x:f>
        <x:v>0.13633196634735534</x:v>
      </x:c>
      <x:c r="C44" t="n">
        <x:f>MIN(47,INT(B44*47)+1)</x:f>
        <x:v>7</x:v>
      </x:c>
      <x:c r="D44" t="n">
        <x:f>INDEX(Datos_47_semanas!$B$4:$B$50,C44)</x:f>
        <x:v>249</x:v>
      </x:c>
      <x:c r="E44" t="n">
        <x:f>MIN($B$4,D44)*$B$7+MAX($B$4-D44,0)*$B$9-$B$4*$B$8</x:f>
        <x:v>198.64999999999998</x:v>
      </x:c>
      <x:c r="F44" t="n">
        <x:f>MIN($B$5,D44)*$B$7+MAX($B$5-D44,0)*$B$9-$B$5*$B$8</x:f>
        <x:v>171.14999999999998</x:v>
      </x:c>
      <x:c r="G44" t="n">
        <x:f>MIN($B$6,D44)*$B$7+MAX($B$6-D44,0)*$B$9-$B$6*$B$8</x:f>
        <x:v>116.14999999999998</x:v>
      </x:c>
      <x:c r="H44" t="n">
        <x:f>MAX(D44-$B$5,0)</x:f>
        <x:v>0</x:v>
      </x:c>
      <x:c r="I44" t="n">
        <x:f>MAX($B$5-D44,0)</x:f>
        <x:v>51</x:v>
      </x:c>
    </x:row>
    <x:row r="45">
      <x:c r="A45" t="n">
        <x:f>33</x:f>
        <x:v>33</x:v>
      </x:c>
      <x:c r="B45" t="n">
        <x:f>RAND()</x:f>
        <x:v>0.2802403706309734</x:v>
      </x:c>
      <x:c r="C45" t="n">
        <x:f>MIN(47,INT(B45*47)+1)</x:f>
        <x:v>14</x:v>
      </x:c>
      <x:c r="D45" t="n">
        <x:f>INDEX(Datos_47_semanas!$B$4:$B$50,C45)</x:f>
        <x:v>187</x:v>
      </x:c>
      <x:c r="E45" t="n">
        <x:f>MIN($B$4,D45)*$B$7+MAX($B$4-D45,0)*$B$9-$B$4*$B$8</x:f>
        <x:v>114.94999999999999</x:v>
      </x:c>
      <x:c r="F45" t="n">
        <x:f>MIN($B$5,D45)*$B$7+MAX($B$5-D45,0)*$B$9-$B$5*$B$8</x:f>
        <x:v>87.44999999999999</x:v>
      </x:c>
      <x:c r="G45" t="n">
        <x:f>MIN($B$6,D45)*$B$7+MAX($B$6-D45,0)*$B$9-$B$6*$B$8</x:f>
        <x:v>32.44999999999999</x:v>
      </x:c>
      <x:c r="H45" t="n">
        <x:f>MAX(D45-$B$5,0)</x:f>
        <x:v>0</x:v>
      </x:c>
      <x:c r="I45" t="n">
        <x:f>MAX($B$5-D45,0)</x:f>
        <x:v>113</x:v>
      </x:c>
    </x:row>
    <x:row r="46">
      <x:c r="A46" t="n">
        <x:f>34</x:f>
        <x:v>34</x:v>
      </x:c>
      <x:c r="B46" t="n">
        <x:f>RAND()</x:f>
        <x:v>0.2856604460460618</x:v>
      </x:c>
      <x:c r="C46" t="n">
        <x:f>MIN(47,INT(B46*47)+1)</x:f>
        <x:v>14</x:v>
      </x:c>
      <x:c r="D46" t="n">
        <x:f>INDEX(Datos_47_semanas!$B$4:$B$50,C46)</x:f>
        <x:v>187</x:v>
      </x:c>
      <x:c r="E46" t="n">
        <x:f>MIN($B$4,D46)*$B$7+MAX($B$4-D46,0)*$B$9-$B$4*$B$8</x:f>
        <x:v>114.94999999999999</x:v>
      </x:c>
      <x:c r="F46" t="n">
        <x:f>MIN($B$5,D46)*$B$7+MAX($B$5-D46,0)*$B$9-$B$5*$B$8</x:f>
        <x:v>87.44999999999999</x:v>
      </x:c>
      <x:c r="G46" t="n">
        <x:f>MIN($B$6,D46)*$B$7+MAX($B$6-D46,0)*$B$9-$B$6*$B$8</x:f>
        <x:v>32.44999999999999</x:v>
      </x:c>
      <x:c r="H46" t="n">
        <x:f>MAX(D46-$B$5,0)</x:f>
        <x:v>0</x:v>
      </x:c>
      <x:c r="I46" t="n">
        <x:f>MAX($B$5-D46,0)</x:f>
        <x:v>113</x:v>
      </x:c>
    </x:row>
    <x:row r="47">
      <x:c r="A47" t="n">
        <x:f>35</x:f>
        <x:v>35</x:v>
      </x:c>
      <x:c r="B47" t="n">
        <x:f>RAND()</x:f>
        <x:v>0.7489286671805298</x:v>
      </x:c>
      <x:c r="C47" t="n">
        <x:f>MIN(47,INT(B47*47)+1)</x:f>
        <x:v>36</x:v>
      </x:c>
      <x:c r="D47" t="n">
        <x:f>INDEX(Datos_47_semanas!$B$4:$B$50,C47)</x:f>
        <x:v>304</x:v>
      </x:c>
      <x:c r="E47" t="n">
        <x:f>MIN($B$4,D47)*$B$7+MAX($B$4-D47,0)*$B$9-$B$4*$B$8</x:f>
        <x:v>200</x:v>
      </x:c>
      <x:c r="F47" t="n">
        <x:f>MIN($B$5,D47)*$B$7+MAX($B$5-D47,0)*$B$9-$B$5*$B$8</x:f>
        <x:v>240</x:v>
      </x:c>
      <x:c r="G47" t="n">
        <x:f>MIN($B$6,D47)*$B$7+MAX($B$6-D47,0)*$B$9-$B$6*$B$8</x:f>
        <x:v>190.39999999999998</x:v>
      </x:c>
      <x:c r="H47" t="n">
        <x:f>MAX(D47-$B$5,0)</x:f>
        <x:v>4</x:v>
      </x:c>
      <x:c r="I47" t="n">
        <x:f>MAX($B$5-D47,0)</x:f>
        <x:v>0</x:v>
      </x:c>
    </x:row>
    <x:row r="48">
      <x:c r="A48" t="n">
        <x:f>36</x:f>
        <x:v>36</x:v>
      </x:c>
      <x:c r="B48" t="n">
        <x:f>RAND()</x:f>
        <x:v>0.326072838551428</x:v>
      </x:c>
      <x:c r="C48" t="n">
        <x:f>MIN(47,INT(B48*47)+1)</x:f>
        <x:v>16</x:v>
      </x:c>
      <x:c r="D48" t="n">
        <x:f>INDEX(Datos_47_semanas!$B$4:$B$50,C48)</x:f>
        <x:v>318</x:v>
      </x:c>
      <x:c r="E48" t="n">
        <x:f>MIN($B$4,D48)*$B$7+MAX($B$4-D48,0)*$B$9-$B$4*$B$8</x:f>
        <x:v>200</x:v>
      </x:c>
      <x:c r="F48" t="n">
        <x:f>MIN($B$5,D48)*$B$7+MAX($B$5-D48,0)*$B$9-$B$5*$B$8</x:f>
        <x:v>240</x:v>
      </x:c>
      <x:c r="G48" t="n">
        <x:f>MIN($B$6,D48)*$B$7+MAX($B$6-D48,0)*$B$9-$B$6*$B$8</x:f>
        <x:v>209.29999999999995</x:v>
      </x:c>
      <x:c r="H48" t="n">
        <x:f>MAX(D48-$B$5,0)</x:f>
        <x:v>18</x:v>
      </x:c>
      <x:c r="I48" t="n">
        <x:f>MAX($B$5-D48,0)</x:f>
        <x:v>0</x:v>
      </x:c>
    </x:row>
    <x:row r="49">
      <x:c r="A49" t="n">
        <x:f>37</x:f>
        <x:v>37</x:v>
      </x:c>
      <x:c r="B49" t="n">
        <x:f>RAND()</x:f>
        <x:v>0.6600520945690854</x:v>
      </x:c>
      <x:c r="C49" t="n">
        <x:f>MIN(47,INT(B49*47)+1)</x:f>
        <x:v>32</x:v>
      </x:c>
      <x:c r="D49" t="n">
        <x:f>INDEX(Datos_47_semanas!$B$4:$B$50,C49)</x:f>
        <x:v>575</x:v>
      </x:c>
      <x:c r="E49" t="n">
        <x:f>MIN($B$4,D49)*$B$7+MAX($B$4-D49,0)*$B$9-$B$4*$B$8</x:f>
        <x:v>200</x:v>
      </x:c>
      <x:c r="F49" t="n">
        <x:f>MIN($B$5,D49)*$B$7+MAX($B$5-D49,0)*$B$9-$B$5*$B$8</x:f>
        <x:v>240</x:v>
      </x:c>
      <x:c r="G49" t="n">
        <x:f>MIN($B$6,D49)*$B$7+MAX($B$6-D49,0)*$B$9-$B$6*$B$8</x:f>
        <x:v>320</x:v>
      </x:c>
      <x:c r="H49" t="n">
        <x:f>MAX(D49-$B$5,0)</x:f>
        <x:v>275</x:v>
      </x:c>
      <x:c r="I49" t="n">
        <x:f>MAX($B$5-D49,0)</x:f>
        <x:v>0</x:v>
      </x:c>
    </x:row>
    <x:row r="50">
      <x:c r="A50" t="n">
        <x:f>38</x:f>
        <x:v>38</x:v>
      </x:c>
      <x:c r="B50" t="n">
        <x:f>RAND()</x:f>
        <x:v>0.05151708184314374</x:v>
      </x:c>
      <x:c r="C50" t="n">
        <x:f>MIN(47,INT(B50*47)+1)</x:f>
        <x:v>3</x:v>
      </x:c>
      <x:c r="D50" t="n">
        <x:f>INDEX(Datos_47_semanas!$B$4:$B$50,C50)</x:f>
        <x:v>128</x:v>
      </x:c>
      <x:c r="E50" t="n">
        <x:f>MIN($B$4,D50)*$B$7+MAX($B$4-D50,0)*$B$9-$B$4*$B$8</x:f>
        <x:v>35.29999999999998</x:v>
      </x:c>
      <x:c r="F50" t="n">
        <x:f>MIN($B$5,D50)*$B$7+MAX($B$5-D50,0)*$B$9-$B$5*$B$8</x:f>
        <x:v>7.800000000000011</x:v>
      </x:c>
      <x:c r="G50" t="n">
        <x:f>MIN($B$6,D50)*$B$7+MAX($B$6-D50,0)*$B$9-$B$6*$B$8</x:f>
        <x:v>-47.200000000000045</x:v>
      </x:c>
      <x:c r="H50" t="n">
        <x:f>MAX(D50-$B$5,0)</x:f>
        <x:v>0</x:v>
      </x:c>
      <x:c r="I50" t="n">
        <x:f>MAX($B$5-D50,0)</x:f>
        <x:v>172</x:v>
      </x:c>
    </x:row>
    <x:row r="51">
      <x:c r="A51" t="n">
        <x:f>39</x:f>
        <x:v>39</x:v>
      </x:c>
      <x:c r="B51" t="n">
        <x:f>RAND()</x:f>
        <x:v>0.9847680403476561</x:v>
      </x:c>
      <x:c r="C51" t="n">
        <x:f>MIN(47,INT(B51*47)+1)</x:f>
        <x:v>47</x:v>
      </x:c>
      <x:c r="D51" t="n">
        <x:f>INDEX(Datos_47_semanas!$B$4:$B$50,C51)</x:f>
        <x:v>256</x:v>
      </x:c>
      <x:c r="E51" t="n">
        <x:f>MIN($B$4,D51)*$B$7+MAX($B$4-D51,0)*$B$9-$B$4*$B$8</x:f>
        <x:v>200</x:v>
      </x:c>
      <x:c r="F51" t="n">
        <x:f>MIN($B$5,D51)*$B$7+MAX($B$5-D51,0)*$B$9-$B$5*$B$8</x:f>
        <x:v>180.59999999999997</x:v>
      </x:c>
      <x:c r="G51" t="n">
        <x:f>MIN($B$6,D51)*$B$7+MAX($B$6-D51,0)*$B$9-$B$6*$B$8</x:f>
        <x:v>125.59999999999997</x:v>
      </x:c>
      <x:c r="H51" t="n">
        <x:f>MAX(D51-$B$5,0)</x:f>
        <x:v>0</x:v>
      </x:c>
      <x:c r="I51" t="n">
        <x:f>MAX($B$5-D51,0)</x:f>
        <x:v>44</x:v>
      </x:c>
    </x:row>
    <x:row r="52">
      <x:c r="A52" t="n">
        <x:f>40</x:f>
        <x:v>40</x:v>
      </x:c>
      <x:c r="B52" t="n">
        <x:f>RAND()</x:f>
        <x:v>0.5347494389441327</x:v>
      </x:c>
      <x:c r="C52" t="n">
        <x:f>MIN(47,INT(B52*47)+1)</x:f>
        <x:v>26</x:v>
      </x:c>
      <x:c r="D52" t="n">
        <x:f>INDEX(Datos_47_semanas!$B$4:$B$50,C52)</x:f>
        <x:v>183</x:v>
      </x:c>
      <x:c r="E52" t="n">
        <x:f>MIN($B$4,D52)*$B$7+MAX($B$4-D52,0)*$B$9-$B$4*$B$8</x:f>
        <x:v>109.55000000000001</x:v>
      </x:c>
      <x:c r="F52" t="n">
        <x:f>MIN($B$5,D52)*$B$7+MAX($B$5-D52,0)*$B$9-$B$5*$B$8</x:f>
        <x:v>82.05000000000001</x:v>
      </x:c>
      <x:c r="G52" t="n">
        <x:f>MIN($B$6,D52)*$B$7+MAX($B$6-D52,0)*$B$9-$B$6*$B$8</x:f>
        <x:v>27.049999999999955</x:v>
      </x:c>
      <x:c r="H52" t="n">
        <x:f>MAX(D52-$B$5,0)</x:f>
        <x:v>0</x:v>
      </x:c>
      <x:c r="I52" t="n">
        <x:f>MAX($B$5-D52,0)</x:f>
        <x:v>117</x:v>
      </x:c>
    </x:row>
    <x:row r="53">
      <x:c r="A53" t="n">
        <x:f>41</x:f>
        <x:v>41</x:v>
      </x:c>
      <x:c r="B53" t="n">
        <x:f>RAND()</x:f>
        <x:v>0.6103132542093334</x:v>
      </x:c>
      <x:c r="C53" t="n">
        <x:f>MIN(47,INT(B53*47)+1)</x:f>
        <x:v>29</x:v>
      </x:c>
      <x:c r="D53" t="n">
        <x:f>INDEX(Datos_47_semanas!$B$4:$B$50,C53)</x:f>
        <x:v>415</x:v>
      </x:c>
      <x:c r="E53" t="n">
        <x:f>MIN($B$4,D53)*$B$7+MAX($B$4-D53,0)*$B$9-$B$4*$B$8</x:f>
        <x:v>200</x:v>
      </x:c>
      <x:c r="F53" t="n">
        <x:f>MIN($B$5,D53)*$B$7+MAX($B$5-D53,0)*$B$9-$B$5*$B$8</x:f>
        <x:v>240</x:v>
      </x:c>
      <x:c r="G53" t="n">
        <x:f>MIN($B$6,D53)*$B$7+MAX($B$6-D53,0)*$B$9-$B$6*$B$8</x:f>
        <x:v>320</x:v>
      </x:c>
      <x:c r="H53" t="n">
        <x:f>MAX(D53-$B$5,0)</x:f>
        <x:v>115</x:v>
      </x:c>
      <x:c r="I53" t="n">
        <x:f>MAX($B$5-D53,0)</x:f>
        <x:v>0</x:v>
      </x:c>
    </x:row>
    <x:row r="54">
      <x:c r="A54" t="n">
        <x:f>42</x:f>
        <x:v>42</x:v>
      </x:c>
      <x:c r="B54" t="n">
        <x:f>RAND()</x:f>
        <x:v>0.5733396958732986</x:v>
      </x:c>
      <x:c r="C54" t="n">
        <x:f>MIN(47,INT(B54*47)+1)</x:f>
        <x:v>27</x:v>
      </x:c>
      <x:c r="D54" t="n">
        <x:f>INDEX(Datos_47_semanas!$B$4:$B$50,C54)</x:f>
        <x:v>293</x:v>
      </x:c>
      <x:c r="E54" t="n">
        <x:f>MIN($B$4,D54)*$B$7+MAX($B$4-D54,0)*$B$9-$B$4*$B$8</x:f>
        <x:v>200</x:v>
      </x:c>
      <x:c r="F54" t="n">
        <x:f>MIN($B$5,D54)*$B$7+MAX($B$5-D54,0)*$B$9-$B$5*$B$8</x:f>
        <x:v>230.55</x:v>
      </x:c>
      <x:c r="G54" t="n">
        <x:f>MIN($B$6,D54)*$B$7+MAX($B$6-D54,0)*$B$9-$B$6*$B$8</x:f>
        <x:v>175.54999999999995</x:v>
      </x:c>
      <x:c r="H54" t="n">
        <x:f>MAX(D54-$B$5,0)</x:f>
        <x:v>0</x:v>
      </x:c>
      <x:c r="I54" t="n">
        <x:f>MAX($B$5-D54,0)</x:f>
        <x:v>7</x:v>
      </x:c>
    </x:row>
    <x:row r="55">
      <x:c r="A55" t="n">
        <x:f>43</x:f>
        <x:v>43</x:v>
      </x:c>
      <x:c r="B55" t="n">
        <x:f>RAND()</x:f>
        <x:v>0.3592560091933268</x:v>
      </x:c>
      <x:c r="C55" t="n">
        <x:f>MIN(47,INT(B55*47)+1)</x:f>
        <x:v>17</x:v>
      </x:c>
      <x:c r="D55" t="n">
        <x:f>INDEX(Datos_47_semanas!$B$4:$B$50,C55)</x:f>
        <x:v>154</x:v>
      </x:c>
      <x:c r="E55" t="n">
        <x:f>MIN($B$4,D55)*$B$7+MAX($B$4-D55,0)*$B$9-$B$4*$B$8</x:f>
        <x:v>70.39999999999998</x:v>
      </x:c>
      <x:c r="F55" t="n">
        <x:f>MIN($B$5,D55)*$B$7+MAX($B$5-D55,0)*$B$9-$B$5*$B$8</x:f>
        <x:v>42.89999999999998</x:v>
      </x:c>
      <x:c r="G55" t="n">
        <x:f>MIN($B$6,D55)*$B$7+MAX($B$6-D55,0)*$B$9-$B$6*$B$8</x:f>
        <x:v>-12.100000000000023</x:v>
      </x:c>
      <x:c r="H55" t="n">
        <x:f>MAX(D55-$B$5,0)</x:f>
        <x:v>0</x:v>
      </x:c>
      <x:c r="I55" t="n">
        <x:f>MAX($B$5-D55,0)</x:f>
        <x:v>146</x:v>
      </x:c>
    </x:row>
    <x:row r="56">
      <x:c r="A56" t="n">
        <x:f>44</x:f>
        <x:v>44</x:v>
      </x:c>
      <x:c r="B56" t="n">
        <x:f>RAND()</x:f>
        <x:v>0.852075853245161</x:v>
      </x:c>
      <x:c r="C56" t="n">
        <x:f>MIN(47,INT(B56*47)+1)</x:f>
        <x:v>41</x:v>
      </x:c>
      <x:c r="D56" t="n">
        <x:f>INDEX(Datos_47_semanas!$B$4:$B$50,C56)</x:f>
        <x:v>383</x:v>
      </x:c>
      <x:c r="E56" t="n">
        <x:f>MIN($B$4,D56)*$B$7+MAX($B$4-D56,0)*$B$9-$B$4*$B$8</x:f>
        <x:v>200</x:v>
      </x:c>
      <x:c r="F56" t="n">
        <x:f>MIN($B$5,D56)*$B$7+MAX($B$5-D56,0)*$B$9-$B$5*$B$8</x:f>
        <x:v>240</x:v>
      </x:c>
      <x:c r="G56" t="n">
        <x:f>MIN($B$6,D56)*$B$7+MAX($B$6-D56,0)*$B$9-$B$6*$B$8</x:f>
        <x:v>297.04999999999995</x:v>
      </x:c>
      <x:c r="H56" t="n">
        <x:f>MAX(D56-$B$5,0)</x:f>
        <x:v>83</x:v>
      </x:c>
      <x:c r="I56" t="n">
        <x:f>MAX($B$5-D56,0)</x:f>
        <x:v>0</x:v>
      </x:c>
    </x:row>
    <x:row r="57">
      <x:c r="A57" t="n">
        <x:f>45</x:f>
        <x:v>45</x:v>
      </x:c>
      <x:c r="B57" t="n">
        <x:f>RAND()</x:f>
        <x:v>0.43788882419029895</x:v>
      </x:c>
      <x:c r="C57" t="n">
        <x:f>MIN(47,INT(B57*47)+1)</x:f>
        <x:v>21</x:v>
      </x:c>
      <x:c r="D57" t="n">
        <x:f>INDEX(Datos_47_semanas!$B$4:$B$50,C57)</x:f>
        <x:v>424</x:v>
      </x:c>
      <x:c r="E57" t="n">
        <x:f>MIN($B$4,D57)*$B$7+MAX($B$4-D57,0)*$B$9-$B$4*$B$8</x:f>
        <x:v>200</x:v>
      </x:c>
      <x:c r="F57" t="n">
        <x:f>MIN($B$5,D57)*$B$7+MAX($B$5-D57,0)*$B$9-$B$5*$B$8</x:f>
        <x:v>240</x:v>
      </x:c>
      <x:c r="G57" t="n">
        <x:f>MIN($B$6,D57)*$B$7+MAX($B$6-D57,0)*$B$9-$B$6*$B$8</x:f>
        <x:v>320</x:v>
      </x:c>
      <x:c r="H57" t="n">
        <x:f>MAX(D57-$B$5,0)</x:f>
        <x:v>124</x:v>
      </x:c>
      <x:c r="I57" t="n">
        <x:f>MAX($B$5-D57,0)</x:f>
        <x:v>0</x:v>
      </x:c>
    </x:row>
    <x:row r="58">
      <x:c r="A58" t="n">
        <x:f>46</x:f>
        <x:v>46</x:v>
      </x:c>
      <x:c r="B58" t="n">
        <x:f>RAND()</x:f>
        <x:v>0.8180369141391802</x:v>
      </x:c>
      <x:c r="C58" t="n">
        <x:f>MIN(47,INT(B58*47)+1)</x:f>
        <x:v>39</x:v>
      </x:c>
      <x:c r="D58" t="n">
        <x:f>INDEX(Datos_47_semanas!$B$4:$B$50,C58)</x:f>
        <x:v>228</x:v>
      </x:c>
      <x:c r="E58" t="n">
        <x:f>MIN($B$4,D58)*$B$7+MAX($B$4-D58,0)*$B$9-$B$4*$B$8</x:f>
        <x:v>170.3</x:v>
      </x:c>
      <x:c r="F58" t="n">
        <x:f>MIN($B$5,D58)*$B$7+MAX($B$5-D58,0)*$B$9-$B$5*$B$8</x:f>
        <x:v>142.8</x:v>
      </x:c>
      <x:c r="G58" t="n">
        <x:f>MIN($B$6,D58)*$B$7+MAX($B$6-D58,0)*$B$9-$B$6*$B$8</x:f>
        <x:v>87.80000000000001</x:v>
      </x:c>
      <x:c r="H58" t="n">
        <x:f>MAX(D58-$B$5,0)</x:f>
        <x:v>0</x:v>
      </x:c>
      <x:c r="I58" t="n">
        <x:f>MAX($B$5-D58,0)</x:f>
        <x:v>72</x:v>
      </x:c>
    </x:row>
    <x:row r="59">
      <x:c r="A59" t="n">
        <x:f>47</x:f>
        <x:v>47</x:v>
      </x:c>
      <x:c r="B59" t="n">
        <x:f>RAND()</x:f>
        <x:v>0.679454272945377</x:v>
      </x:c>
      <x:c r="C59" t="n">
        <x:f>MIN(47,INT(B59*47)+1)</x:f>
        <x:v>32</x:v>
      </x:c>
      <x:c r="D59" t="n">
        <x:f>INDEX(Datos_47_semanas!$B$4:$B$50,C59)</x:f>
        <x:v>575</x:v>
      </x:c>
      <x:c r="E59" t="n">
        <x:f>MIN($B$4,D59)*$B$7+MAX($B$4-D59,0)*$B$9-$B$4*$B$8</x:f>
        <x:v>200</x:v>
      </x:c>
      <x:c r="F59" t="n">
        <x:f>MIN($B$5,D59)*$B$7+MAX($B$5-D59,0)*$B$9-$B$5*$B$8</x:f>
        <x:v>240</x:v>
      </x:c>
      <x:c r="G59" t="n">
        <x:f>MIN($B$6,D59)*$B$7+MAX($B$6-D59,0)*$B$9-$B$6*$B$8</x:f>
        <x:v>320</x:v>
      </x:c>
      <x:c r="H59" t="n">
        <x:f>MAX(D59-$B$5,0)</x:f>
        <x:v>275</x:v>
      </x:c>
      <x:c r="I59" t="n">
        <x:f>MAX($B$5-D59,0)</x:f>
        <x:v>0</x:v>
      </x:c>
    </x:row>
    <x:row r="60">
      <x:c r="A60" t="n">
        <x:f>48</x:f>
        <x:v>48</x:v>
      </x:c>
      <x:c r="B60" t="n">
        <x:f>RAND()</x:f>
        <x:v>0.8465809024441819</x:v>
      </x:c>
      <x:c r="C60" t="n">
        <x:f>MIN(47,INT(B60*47)+1)</x:f>
        <x:v>40</x:v>
      </x:c>
      <x:c r="D60" t="n">
        <x:f>INDEX(Datos_47_semanas!$B$4:$B$50,C60)</x:f>
        <x:v>278</x:v>
      </x:c>
      <x:c r="E60" t="n">
        <x:f>MIN($B$4,D60)*$B$7+MAX($B$4-D60,0)*$B$9-$B$4*$B$8</x:f>
        <x:v>200</x:v>
      </x:c>
      <x:c r="F60" t="n">
        <x:f>MIN($B$5,D60)*$B$7+MAX($B$5-D60,0)*$B$9-$B$5*$B$8</x:f>
        <x:v>210.3</x:v>
      </x:c>
      <x:c r="G60" t="n">
        <x:f>MIN($B$6,D60)*$B$7+MAX($B$6-D60,0)*$B$9-$B$6*$B$8</x:f>
        <x:v>155.3</x:v>
      </x:c>
      <x:c r="H60" t="n">
        <x:f>MAX(D60-$B$5,0)</x:f>
        <x:v>0</x:v>
      </x:c>
      <x:c r="I60" t="n">
        <x:f>MAX($B$5-D60,0)</x:f>
        <x:v>22</x:v>
      </x:c>
    </x:row>
    <x:row r="61">
      <x:c r="A61" t="n">
        <x:f>49</x:f>
        <x:v>49</x:v>
      </x:c>
      <x:c r="B61" t="n">
        <x:f>RAND()</x:f>
        <x:v>0.5117734157783556</x:v>
      </x:c>
      <x:c r="C61" t="n">
        <x:f>MIN(47,INT(B61*47)+1)</x:f>
        <x:v>25</x:v>
      </x:c>
      <x:c r="D61" t="n">
        <x:f>INDEX(Datos_47_semanas!$B$4:$B$50,C61)</x:f>
        <x:v>218</x:v>
      </x:c>
      <x:c r="E61" t="n">
        <x:f>MIN($B$4,D61)*$B$7+MAX($B$4-D61,0)*$B$9-$B$4*$B$8</x:f>
        <x:v>156.8</x:v>
      </x:c>
      <x:c r="F61" t="n">
        <x:f>MIN($B$5,D61)*$B$7+MAX($B$5-D61,0)*$B$9-$B$5*$B$8</x:f>
        <x:v>129.3</x:v>
      </x:c>
      <x:c r="G61" t="n">
        <x:f>MIN($B$6,D61)*$B$7+MAX($B$6-D61,0)*$B$9-$B$6*$B$8</x:f>
        <x:v>74.30000000000001</x:v>
      </x:c>
      <x:c r="H61" t="n">
        <x:f>MAX(D61-$B$5,0)</x:f>
        <x:v>0</x:v>
      </x:c>
      <x:c r="I61" t="n">
        <x:f>MAX($B$5-D61,0)</x:f>
        <x:v>82</x:v>
      </x:c>
    </x:row>
    <x:row r="62">
      <x:c r="A62" t="n">
        <x:f>50</x:f>
        <x:v>50</x:v>
      </x:c>
      <x:c r="B62" t="n">
        <x:f>RAND()</x:f>
        <x:v>0.4816668440920202</x:v>
      </x:c>
      <x:c r="C62" t="n">
        <x:f>MIN(47,INT(B62*47)+1)</x:f>
        <x:v>23</x:v>
      </x:c>
      <x:c r="D62" t="n">
        <x:f>INDEX(Datos_47_semanas!$B$4:$B$50,C62)</x:f>
        <x:v>565</x:v>
      </x:c>
      <x:c r="E62" t="n">
        <x:f>MIN($B$4,D62)*$B$7+MAX($B$4-D62,0)*$B$9-$B$4*$B$8</x:f>
        <x:v>200</x:v>
      </x:c>
      <x:c r="F62" t="n">
        <x:f>MIN($B$5,D62)*$B$7+MAX($B$5-D62,0)*$B$9-$B$5*$B$8</x:f>
        <x:v>240</x:v>
      </x:c>
      <x:c r="G62" t="n">
        <x:f>MIN($B$6,D62)*$B$7+MAX($B$6-D62,0)*$B$9-$B$6*$B$8</x:f>
        <x:v>320</x:v>
      </x:c>
      <x:c r="H62" t="n">
        <x:f>MAX(D62-$B$5,0)</x:f>
        <x:v>265</x:v>
      </x:c>
      <x:c r="I62" t="n">
        <x:f>MAX($B$5-D62,0)</x:f>
        <x:v>0</x:v>
      </x:c>
    </x:row>
    <x:row r="63">
      <x:c r="A63" t="n">
        <x:f>51</x:f>
        <x:v>51</x:v>
      </x:c>
      <x:c r="B63" t="n">
        <x:f>RAND()</x:f>
        <x:v>0.7984040679757206</x:v>
      </x:c>
      <x:c r="C63" t="n">
        <x:f>MIN(47,INT(B63*47)+1)</x:f>
        <x:v>38</x:v>
      </x:c>
      <x:c r="D63" t="n">
        <x:f>INDEX(Datos_47_semanas!$B$4:$B$50,C63)</x:f>
        <x:v>212</x:v>
      </x:c>
      <x:c r="E63" t="n">
        <x:f>MIN($B$4,D63)*$B$7+MAX($B$4-D63,0)*$B$9-$B$4*$B$8</x:f>
        <x:v>148.69999999999993</x:v>
      </x:c>
      <x:c r="F63" t="n">
        <x:f>MIN($B$5,D63)*$B$7+MAX($B$5-D63,0)*$B$9-$B$5*$B$8</x:f>
        <x:v>121.19999999999993</x:v>
      </x:c>
      <x:c r="G63" t="n">
        <x:f>MIN($B$6,D63)*$B$7+MAX($B$6-D63,0)*$B$9-$B$6*$B$8</x:f>
        <x:v>66.19999999999993</x:v>
      </x:c>
      <x:c r="H63" t="n">
        <x:f>MAX(D63-$B$5,0)</x:f>
        <x:v>0</x:v>
      </x:c>
      <x:c r="I63" t="n">
        <x:f>MAX($B$5-D63,0)</x:f>
        <x:v>88</x:v>
      </x:c>
    </x:row>
    <x:row r="64">
      <x:c r="A64" t="n">
        <x:f>52</x:f>
        <x:v>52</x:v>
      </x:c>
      <x:c r="B64" t="n">
        <x:f>RAND()</x:f>
        <x:v>0.992374680926452</x:v>
      </x:c>
      <x:c r="C64" t="n">
        <x:f>MIN(47,INT(B64*47)+1)</x:f>
        <x:v>47</x:v>
      </x:c>
      <x:c r="D64" t="n">
        <x:f>INDEX(Datos_47_semanas!$B$4:$B$50,C64)</x:f>
        <x:v>256</x:v>
      </x:c>
      <x:c r="E64" t="n">
        <x:f>MIN($B$4,D64)*$B$7+MAX($B$4-D64,0)*$B$9-$B$4*$B$8</x:f>
        <x:v>200</x:v>
      </x:c>
      <x:c r="F64" t="n">
        <x:f>MIN($B$5,D64)*$B$7+MAX($B$5-D64,0)*$B$9-$B$5*$B$8</x:f>
        <x:v>180.59999999999997</x:v>
      </x:c>
      <x:c r="G64" t="n">
        <x:f>MIN($B$6,D64)*$B$7+MAX($B$6-D64,0)*$B$9-$B$6*$B$8</x:f>
        <x:v>125.59999999999997</x:v>
      </x:c>
      <x:c r="H64" t="n">
        <x:f>MAX(D64-$B$5,0)</x:f>
        <x:v>0</x:v>
      </x:c>
      <x:c r="I64" t="n">
        <x:f>MAX($B$5-D64,0)</x:f>
        <x:v>44</x:v>
      </x:c>
    </x:row>
    <x:row r="65">
      <x:c r="A65" t="n">
        <x:f>53</x:f>
        <x:v>53</x:v>
      </x:c>
      <x:c r="B65" t="n">
        <x:f>RAND()</x:f>
        <x:v>0.6362236703908867</x:v>
      </x:c>
      <x:c r="C65" t="n">
        <x:f>MIN(47,INT(B65*47)+1)</x:f>
        <x:v>30</x:v>
      </x:c>
      <x:c r="D65" t="n">
        <x:f>INDEX(Datos_47_semanas!$B$4:$B$50,C65)</x:f>
        <x:v>345</x:v>
      </x:c>
      <x:c r="E65" t="n">
        <x:f>MIN($B$4,D65)*$B$7+MAX($B$4-D65,0)*$B$9-$B$4*$B$8</x:f>
        <x:v>200</x:v>
      </x:c>
      <x:c r="F65" t="n">
        <x:f>MIN($B$5,D65)*$B$7+MAX($B$5-D65,0)*$B$9-$B$5*$B$8</x:f>
        <x:v>240</x:v>
      </x:c>
      <x:c r="G65" t="n">
        <x:f>MIN($B$6,D65)*$B$7+MAX($B$6-D65,0)*$B$9-$B$6*$B$8</x:f>
        <x:v>245.75</x:v>
      </x:c>
      <x:c r="H65" t="n">
        <x:f>MAX(D65-$B$5,0)</x:f>
        <x:v>45</x:v>
      </x:c>
      <x:c r="I65" t="n">
        <x:f>MAX($B$5-D65,0)</x:f>
        <x:v>0</x:v>
      </x:c>
    </x:row>
    <x:row r="66">
      <x:c r="A66" t="n">
        <x:f>54</x:f>
        <x:v>54</x:v>
      </x:c>
      <x:c r="B66" t="n">
        <x:f>RAND()</x:f>
        <x:v>0.9617963982049098</x:v>
      </x:c>
      <x:c r="C66" t="n">
        <x:f>MIN(47,INT(B66*47)+1)</x:f>
        <x:v>46</x:v>
      </x:c>
      <x:c r="D66" t="n">
        <x:f>INDEX(Datos_47_semanas!$B$4:$B$50,C66)</x:f>
        <x:v>449</x:v>
      </x:c>
      <x:c r="E66" t="n">
        <x:f>MIN($B$4,D66)*$B$7+MAX($B$4-D66,0)*$B$9-$B$4*$B$8</x:f>
        <x:v>200</x:v>
      </x:c>
      <x:c r="F66" t="n">
        <x:f>MIN($B$5,D66)*$B$7+MAX($B$5-D66,0)*$B$9-$B$5*$B$8</x:f>
        <x:v>240</x:v>
      </x:c>
      <x:c r="G66" t="n">
        <x:f>MIN($B$6,D66)*$B$7+MAX($B$6-D66,0)*$B$9-$B$6*$B$8</x:f>
        <x:v>320</x:v>
      </x:c>
      <x:c r="H66" t="n">
        <x:f>MAX(D66-$B$5,0)</x:f>
        <x:v>149</x:v>
      </x:c>
      <x:c r="I66" t="n">
        <x:f>MAX($B$5-D66,0)</x:f>
        <x:v>0</x:v>
      </x:c>
    </x:row>
    <x:row r="67">
      <x:c r="A67" t="n">
        <x:f>55</x:f>
        <x:v>55</x:v>
      </x:c>
      <x:c r="B67" t="n">
        <x:f>RAND()</x:f>
        <x:v>0.9375972405340888</x:v>
      </x:c>
      <x:c r="C67" t="n">
        <x:f>MIN(47,INT(B67*47)+1)</x:f>
        <x:v>45</x:v>
      </x:c>
      <x:c r="D67" t="n">
        <x:f>INDEX(Datos_47_semanas!$B$4:$B$50,C67)</x:f>
        <x:v>526</x:v>
      </x:c>
      <x:c r="E67" t="n">
        <x:f>MIN($B$4,D67)*$B$7+MAX($B$4-D67,0)*$B$9-$B$4*$B$8</x:f>
        <x:v>200</x:v>
      </x:c>
      <x:c r="F67" t="n">
        <x:f>MIN($B$5,D67)*$B$7+MAX($B$5-D67,0)*$B$9-$B$5*$B$8</x:f>
        <x:v>240</x:v>
      </x:c>
      <x:c r="G67" t="n">
        <x:f>MIN($B$6,D67)*$B$7+MAX($B$6-D67,0)*$B$9-$B$6*$B$8</x:f>
        <x:v>320</x:v>
      </x:c>
      <x:c r="H67" t="n">
        <x:f>MAX(D67-$B$5,0)</x:f>
        <x:v>226</x:v>
      </x:c>
      <x:c r="I67" t="n">
        <x:f>MAX($B$5-D67,0)</x:f>
        <x:v>0</x:v>
      </x:c>
    </x:row>
    <x:row r="68">
      <x:c r="A68" t="n">
        <x:f>56</x:f>
        <x:v>56</x:v>
      </x:c>
      <x:c r="B68" t="n">
        <x:f>RAND()</x:f>
        <x:v>0.05864042703717087</x:v>
      </x:c>
      <x:c r="C68" t="n">
        <x:f>MIN(47,INT(B68*47)+1)</x:f>
        <x:v>3</x:v>
      </x:c>
      <x:c r="D68" t="n">
        <x:f>INDEX(Datos_47_semanas!$B$4:$B$50,C68)</x:f>
        <x:v>128</x:v>
      </x:c>
      <x:c r="E68" t="n">
        <x:f>MIN($B$4,D68)*$B$7+MAX($B$4-D68,0)*$B$9-$B$4*$B$8</x:f>
        <x:v>35.29999999999998</x:v>
      </x:c>
      <x:c r="F68" t="n">
        <x:f>MIN($B$5,D68)*$B$7+MAX($B$5-D68,0)*$B$9-$B$5*$B$8</x:f>
        <x:v>7.800000000000011</x:v>
      </x:c>
      <x:c r="G68" t="n">
        <x:f>MIN($B$6,D68)*$B$7+MAX($B$6-D68,0)*$B$9-$B$6*$B$8</x:f>
        <x:v>-47.200000000000045</x:v>
      </x:c>
      <x:c r="H68" t="n">
        <x:f>MAX(D68-$B$5,0)</x:f>
        <x:v>0</x:v>
      </x:c>
      <x:c r="I68" t="n">
        <x:f>MAX($B$5-D68,0)</x:f>
        <x:v>172</x:v>
      </x:c>
    </x:row>
    <x:row r="69">
      <x:c r="A69" t="n">
        <x:f>57</x:f>
        <x:v>57</x:v>
      </x:c>
      <x:c r="B69" t="n">
        <x:f>RAND()</x:f>
        <x:v>0.5018586848774712</x:v>
      </x:c>
      <x:c r="C69" t="n">
        <x:f>MIN(47,INT(B69*47)+1)</x:f>
        <x:v>24</x:v>
      </x:c>
      <x:c r="D69" t="n">
        <x:f>INDEX(Datos_47_semanas!$B$4:$B$50,C69)</x:f>
        <x:v>186</x:v>
      </x:c>
      <x:c r="E69" t="n">
        <x:f>MIN($B$4,D69)*$B$7+MAX($B$4-D69,0)*$B$9-$B$4*$B$8</x:f>
        <x:v>113.59999999999997</x:v>
      </x:c>
      <x:c r="F69" t="n">
        <x:f>MIN($B$5,D69)*$B$7+MAX($B$5-D69,0)*$B$9-$B$5*$B$8</x:f>
        <x:v>86.09999999999997</x:v>
      </x:c>
      <x:c r="G69" t="n">
        <x:f>MIN($B$6,D69)*$B$7+MAX($B$6-D69,0)*$B$9-$B$6*$B$8</x:f>
        <x:v>31.099999999999966</x:v>
      </x:c>
      <x:c r="H69" t="n">
        <x:f>MAX(D69-$B$5,0)</x:f>
        <x:v>0</x:v>
      </x:c>
      <x:c r="I69" t="n">
        <x:f>MAX($B$5-D69,0)</x:f>
        <x:v>114</x:v>
      </x:c>
    </x:row>
    <x:row r="70">
      <x:c r="A70" t="n">
        <x:f>58</x:f>
        <x:v>58</x:v>
      </x:c>
      <x:c r="B70" t="n">
        <x:f>RAND()</x:f>
        <x:v>0.6486751346298987</x:v>
      </x:c>
      <x:c r="C70" t="n">
        <x:f>MIN(47,INT(B70*47)+1)</x:f>
        <x:v>31</x:v>
      </x:c>
      <x:c r="D70" t="n">
        <x:f>INDEX(Datos_47_semanas!$B$4:$B$50,C70)</x:f>
        <x:v>583</x:v>
      </x:c>
      <x:c r="E70" t="n">
        <x:f>MIN($B$4,D70)*$B$7+MAX($B$4-D70,0)*$B$9-$B$4*$B$8</x:f>
        <x:v>200</x:v>
      </x:c>
      <x:c r="F70" t="n">
        <x:f>MIN($B$5,D70)*$B$7+MAX($B$5-D70,0)*$B$9-$B$5*$B$8</x:f>
        <x:v>240</x:v>
      </x:c>
      <x:c r="G70" t="n">
        <x:f>MIN($B$6,D70)*$B$7+MAX($B$6-D70,0)*$B$9-$B$6*$B$8</x:f>
        <x:v>320</x:v>
      </x:c>
      <x:c r="H70" t="n">
        <x:f>MAX(D70-$B$5,0)</x:f>
        <x:v>283</x:v>
      </x:c>
      <x:c r="I70" t="n">
        <x:f>MAX($B$5-D70,0)</x:f>
        <x:v>0</x:v>
      </x:c>
    </x:row>
    <x:row r="71">
      <x:c r="A71" t="n">
        <x:f>59</x:f>
        <x:v>59</x:v>
      </x:c>
      <x:c r="B71" t="n">
        <x:f>RAND()</x:f>
        <x:v>0.6160164955381537</x:v>
      </x:c>
      <x:c r="C71" t="n">
        <x:f>MIN(47,INT(B71*47)+1)</x:f>
        <x:v>29</x:v>
      </x:c>
      <x:c r="D71" t="n">
        <x:f>INDEX(Datos_47_semanas!$B$4:$B$50,C71)</x:f>
        <x:v>415</x:v>
      </x:c>
      <x:c r="E71" t="n">
        <x:f>MIN($B$4,D71)*$B$7+MAX($B$4-D71,0)*$B$9-$B$4*$B$8</x:f>
        <x:v>200</x:v>
      </x:c>
      <x:c r="F71" t="n">
        <x:f>MIN($B$5,D71)*$B$7+MAX($B$5-D71,0)*$B$9-$B$5*$B$8</x:f>
        <x:v>240</x:v>
      </x:c>
      <x:c r="G71" t="n">
        <x:f>MIN($B$6,D71)*$B$7+MAX($B$6-D71,0)*$B$9-$B$6*$B$8</x:f>
        <x:v>320</x:v>
      </x:c>
      <x:c r="H71" t="n">
        <x:f>MAX(D71-$B$5,0)</x:f>
        <x:v>115</x:v>
      </x:c>
      <x:c r="I71" t="n">
        <x:f>MAX($B$5-D71,0)</x:f>
        <x:v>0</x:v>
      </x:c>
    </x:row>
    <x:row r="72">
      <x:c r="A72" t="n">
        <x:f>60</x:f>
        <x:v>60</x:v>
      </x:c>
      <x:c r="B72" t="n">
        <x:f>RAND()</x:f>
        <x:v>0.04664098625972524</x:v>
      </x:c>
      <x:c r="C72" t="n">
        <x:f>MIN(47,INT(B72*47)+1)</x:f>
        <x:v>3</x:v>
      </x:c>
      <x:c r="D72" t="n">
        <x:f>INDEX(Datos_47_semanas!$B$4:$B$50,C72)</x:f>
        <x:v>128</x:v>
      </x:c>
      <x:c r="E72" t="n">
        <x:f>MIN($B$4,D72)*$B$7+MAX($B$4-D72,0)*$B$9-$B$4*$B$8</x:f>
        <x:v>35.29999999999998</x:v>
      </x:c>
      <x:c r="F72" t="n">
        <x:f>MIN($B$5,D72)*$B$7+MAX($B$5-D72,0)*$B$9-$B$5*$B$8</x:f>
        <x:v>7.800000000000011</x:v>
      </x:c>
      <x:c r="G72" t="n">
        <x:f>MIN($B$6,D72)*$B$7+MAX($B$6-D72,0)*$B$9-$B$6*$B$8</x:f>
        <x:v>-47.200000000000045</x:v>
      </x:c>
      <x:c r="H72" t="n">
        <x:f>MAX(D72-$B$5,0)</x:f>
        <x:v>0</x:v>
      </x:c>
      <x:c r="I72" t="n">
        <x:f>MAX($B$5-D72,0)</x:f>
        <x:v>172</x:v>
      </x:c>
    </x:row>
    <x:row r="73">
      <x:c r="A73" t="n">
        <x:f>61</x:f>
        <x:v>61</x:v>
      </x:c>
      <x:c r="B73" t="n">
        <x:f>RAND()</x:f>
        <x:v>0.5300368036635764</x:v>
      </x:c>
      <x:c r="C73" t="n">
        <x:f>MIN(47,INT(B73*47)+1)</x:f>
        <x:v>25</x:v>
      </x:c>
      <x:c r="D73" t="n">
        <x:f>INDEX(Datos_47_semanas!$B$4:$B$50,C73)</x:f>
        <x:v>218</x:v>
      </x:c>
      <x:c r="E73" t="n">
        <x:f>MIN($B$4,D73)*$B$7+MAX($B$4-D73,0)*$B$9-$B$4*$B$8</x:f>
        <x:v>156.8</x:v>
      </x:c>
      <x:c r="F73" t="n">
        <x:f>MIN($B$5,D73)*$B$7+MAX($B$5-D73,0)*$B$9-$B$5*$B$8</x:f>
        <x:v>129.3</x:v>
      </x:c>
      <x:c r="G73" t="n">
        <x:f>MIN($B$6,D73)*$B$7+MAX($B$6-D73,0)*$B$9-$B$6*$B$8</x:f>
        <x:v>74.30000000000001</x:v>
      </x:c>
      <x:c r="H73" t="n">
        <x:f>MAX(D73-$B$5,0)</x:f>
        <x:v>0</x:v>
      </x:c>
      <x:c r="I73" t="n">
        <x:f>MAX($B$5-D73,0)</x:f>
        <x:v>82</x:v>
      </x:c>
    </x:row>
    <x:row r="74">
      <x:c r="A74" t="n">
        <x:f>62</x:f>
        <x:v>62</x:v>
      </x:c>
      <x:c r="B74" t="n">
        <x:f>RAND()</x:f>
        <x:v>0.7647018733344363</x:v>
      </x:c>
      <x:c r="C74" t="n">
        <x:f>MIN(47,INT(B74*47)+1)</x:f>
        <x:v>36</x:v>
      </x:c>
      <x:c r="D74" t="n">
        <x:f>INDEX(Datos_47_semanas!$B$4:$B$50,C74)</x:f>
        <x:v>304</x:v>
      </x:c>
      <x:c r="E74" t="n">
        <x:f>MIN($B$4,D74)*$B$7+MAX($B$4-D74,0)*$B$9-$B$4*$B$8</x:f>
        <x:v>200</x:v>
      </x:c>
      <x:c r="F74" t="n">
        <x:f>MIN($B$5,D74)*$B$7+MAX($B$5-D74,0)*$B$9-$B$5*$B$8</x:f>
        <x:v>240</x:v>
      </x:c>
      <x:c r="G74" t="n">
        <x:f>MIN($B$6,D74)*$B$7+MAX($B$6-D74,0)*$B$9-$B$6*$B$8</x:f>
        <x:v>190.39999999999998</x:v>
      </x:c>
      <x:c r="H74" t="n">
        <x:f>MAX(D74-$B$5,0)</x:f>
        <x:v>4</x:v>
      </x:c>
      <x:c r="I74" t="n">
        <x:f>MAX($B$5-D74,0)</x:f>
        <x:v>0</x:v>
      </x:c>
    </x:row>
    <x:row r="75">
      <x:c r="A75" t="n">
        <x:f>63</x:f>
        <x:v>63</x:v>
      </x:c>
      <x:c r="B75" t="n">
        <x:f>RAND()</x:f>
        <x:v>0.8952419554650025</x:v>
      </x:c>
      <x:c r="C75" t="n">
        <x:f>MIN(47,INT(B75*47)+1)</x:f>
        <x:v>43</x:v>
      </x:c>
      <x:c r="D75" t="n">
        <x:f>INDEX(Datos_47_semanas!$B$4:$B$50,C75)</x:f>
        <x:v>234</x:v>
      </x:c>
      <x:c r="E75" t="n">
        <x:f>MIN($B$4,D75)*$B$7+MAX($B$4-D75,0)*$B$9-$B$4*$B$8</x:f>
        <x:v>178.39999999999998</x:v>
      </x:c>
      <x:c r="F75" t="n">
        <x:f>MIN($B$5,D75)*$B$7+MAX($B$5-D75,0)*$B$9-$B$5*$B$8</x:f>
        <x:v>150.89999999999998</x:v>
      </x:c>
      <x:c r="G75" t="n">
        <x:f>MIN($B$6,D75)*$B$7+MAX($B$6-D75,0)*$B$9-$B$6*$B$8</x:f>
        <x:v>95.89999999999998</x:v>
      </x:c>
      <x:c r="H75" t="n">
        <x:f>MAX(D75-$B$5,0)</x:f>
        <x:v>0</x:v>
      </x:c>
      <x:c r="I75" t="n">
        <x:f>MAX($B$5-D75,0)</x:f>
        <x:v>66</x:v>
      </x:c>
    </x:row>
    <x:row r="76">
      <x:c r="A76" t="n">
        <x:f>64</x:f>
        <x:v>64</x:v>
      </x:c>
      <x:c r="B76" t="n">
        <x:f>RAND()</x:f>
        <x:v>0.8799391419616476</x:v>
      </x:c>
      <x:c r="C76" t="n">
        <x:f>MIN(47,INT(B76*47)+1)</x:f>
        <x:v>42</x:v>
      </x:c>
      <x:c r="D76" t="n">
        <x:f>INDEX(Datos_47_semanas!$B$4:$B$50,C76)</x:f>
        <x:v>146</x:v>
      </x:c>
      <x:c r="E76" t="n">
        <x:f>MIN($B$4,D76)*$B$7+MAX($B$4-D76,0)*$B$9-$B$4*$B$8</x:f>
        <x:v>59.599999999999966</x:v>
      </x:c>
      <x:c r="F76" t="n">
        <x:f>MIN($B$5,D76)*$B$7+MAX($B$5-D76,0)*$B$9-$B$5*$B$8</x:f>
        <x:v>32.099999999999966</x:v>
      </x:c>
      <x:c r="G76" t="n">
        <x:f>MIN($B$6,D76)*$B$7+MAX($B$6-D76,0)*$B$9-$B$6*$B$8</x:f>
        <x:v>-22.900000000000034</x:v>
      </x:c>
      <x:c r="H76" t="n">
        <x:f>MAX(D76-$B$5,0)</x:f>
        <x:v>0</x:v>
      </x:c>
      <x:c r="I76" t="n">
        <x:f>MAX($B$5-D76,0)</x:f>
        <x:v>154</x:v>
      </x:c>
    </x:row>
    <x:row r="77">
      <x:c r="A77" t="n">
        <x:f>65</x:f>
        <x:v>65</x:v>
      </x:c>
      <x:c r="B77" t="n">
        <x:f>RAND()</x:f>
        <x:v>0.8803882063629588</x:v>
      </x:c>
      <x:c r="C77" t="n">
        <x:f>MIN(47,INT(B77*47)+1)</x:f>
        <x:v>42</x:v>
      </x:c>
      <x:c r="D77" t="n">
        <x:f>INDEX(Datos_47_semanas!$B$4:$B$50,C77)</x:f>
        <x:v>146</x:v>
      </x:c>
      <x:c r="E77" t="n">
        <x:f>MIN($B$4,D77)*$B$7+MAX($B$4-D77,0)*$B$9-$B$4*$B$8</x:f>
        <x:v>59.599999999999966</x:v>
      </x:c>
      <x:c r="F77" t="n">
        <x:f>MIN($B$5,D77)*$B$7+MAX($B$5-D77,0)*$B$9-$B$5*$B$8</x:f>
        <x:v>32.099999999999966</x:v>
      </x:c>
      <x:c r="G77" t="n">
        <x:f>MIN($B$6,D77)*$B$7+MAX($B$6-D77,0)*$B$9-$B$6*$B$8</x:f>
        <x:v>-22.900000000000034</x:v>
      </x:c>
      <x:c r="H77" t="n">
        <x:f>MAX(D77-$B$5,0)</x:f>
        <x:v>0</x:v>
      </x:c>
      <x:c r="I77" t="n">
        <x:f>MAX($B$5-D77,0)</x:f>
        <x:v>154</x:v>
      </x:c>
    </x:row>
    <x:row r="78">
      <x:c r="A78" t="n">
        <x:f>66</x:f>
        <x:v>66</x:v>
      </x:c>
      <x:c r="B78" t="n">
        <x:f>RAND()</x:f>
        <x:v>0.21816291710385705</x:v>
      </x:c>
      <x:c r="C78" t="n">
        <x:f>MIN(47,INT(B78*47)+1)</x:f>
        <x:v>11</x:v>
      </x:c>
      <x:c r="D78" t="n">
        <x:f>INDEX(Datos_47_semanas!$B$4:$B$50,C78)</x:f>
        <x:v>268</x:v>
      </x:c>
      <x:c r="E78" t="n">
        <x:f>MIN($B$4,D78)*$B$7+MAX($B$4-D78,0)*$B$9-$B$4*$B$8</x:f>
        <x:v>200</x:v>
      </x:c>
      <x:c r="F78" t="n">
        <x:f>MIN($B$5,D78)*$B$7+MAX($B$5-D78,0)*$B$9-$B$5*$B$8</x:f>
        <x:v>196.8</x:v>
      </x:c>
      <x:c r="G78" t="n">
        <x:f>MIN($B$6,D78)*$B$7+MAX($B$6-D78,0)*$B$9-$B$6*$B$8</x:f>
        <x:v>141.8</x:v>
      </x:c>
      <x:c r="H78" t="n">
        <x:f>MAX(D78-$B$5,0)</x:f>
        <x:v>0</x:v>
      </x:c>
      <x:c r="I78" t="n">
        <x:f>MAX($B$5-D78,0)</x:f>
        <x:v>32</x:v>
      </x:c>
    </x:row>
    <x:row r="79">
      <x:c r="A79" t="n">
        <x:f>67</x:f>
        <x:v>67</x:v>
      </x:c>
      <x:c r="B79" t="n">
        <x:f>RAND()</x:f>
        <x:v>0.8919222118435013</x:v>
      </x:c>
      <x:c r="C79" t="n">
        <x:f>MIN(47,INT(B79*47)+1)</x:f>
        <x:v>42</x:v>
      </x:c>
      <x:c r="D79" t="n">
        <x:f>INDEX(Datos_47_semanas!$B$4:$B$50,C79)</x:f>
        <x:v>146</x:v>
      </x:c>
      <x:c r="E79" t="n">
        <x:f>MIN($B$4,D79)*$B$7+MAX($B$4-D79,0)*$B$9-$B$4*$B$8</x:f>
        <x:v>59.599999999999966</x:v>
      </x:c>
      <x:c r="F79" t="n">
        <x:f>MIN($B$5,D79)*$B$7+MAX($B$5-D79,0)*$B$9-$B$5*$B$8</x:f>
        <x:v>32.099999999999966</x:v>
      </x:c>
      <x:c r="G79" t="n">
        <x:f>MIN($B$6,D79)*$B$7+MAX($B$6-D79,0)*$B$9-$B$6*$B$8</x:f>
        <x:v>-22.900000000000034</x:v>
      </x:c>
      <x:c r="H79" t="n">
        <x:f>MAX(D79-$B$5,0)</x:f>
        <x:v>0</x:v>
      </x:c>
      <x:c r="I79" t="n">
        <x:f>MAX($B$5-D79,0)</x:f>
        <x:v>154</x:v>
      </x:c>
    </x:row>
    <x:row r="80">
      <x:c r="A80" t="n">
        <x:f>68</x:f>
        <x:v>68</x:v>
      </x:c>
      <x:c r="B80" t="n">
        <x:f>RAND()</x:f>
        <x:v>0.4328995897044059</x:v>
      </x:c>
      <x:c r="C80" t="n">
        <x:f>MIN(47,INT(B80*47)+1)</x:f>
        <x:v>21</x:v>
      </x:c>
      <x:c r="D80" t="n">
        <x:f>INDEX(Datos_47_semanas!$B$4:$B$50,C80)</x:f>
        <x:v>424</x:v>
      </x:c>
      <x:c r="E80" t="n">
        <x:f>MIN($B$4,D80)*$B$7+MAX($B$4-D80,0)*$B$9-$B$4*$B$8</x:f>
        <x:v>200</x:v>
      </x:c>
      <x:c r="F80" t="n">
        <x:f>MIN($B$5,D80)*$B$7+MAX($B$5-D80,0)*$B$9-$B$5*$B$8</x:f>
        <x:v>240</x:v>
      </x:c>
      <x:c r="G80" t="n">
        <x:f>MIN($B$6,D80)*$B$7+MAX($B$6-D80,0)*$B$9-$B$6*$B$8</x:f>
        <x:v>320</x:v>
      </x:c>
      <x:c r="H80" t="n">
        <x:f>MAX(D80-$B$5,0)</x:f>
        <x:v>124</x:v>
      </x:c>
      <x:c r="I80" t="n">
        <x:f>MAX($B$5-D80,0)</x:f>
        <x:v>0</x:v>
      </x:c>
    </x:row>
    <x:row r="81">
      <x:c r="A81" t="n">
        <x:f>69</x:f>
        <x:v>69</x:v>
      </x:c>
      <x:c r="B81" t="n">
        <x:f>RAND()</x:f>
        <x:v>0.8681435673534335</x:v>
      </x:c>
      <x:c r="C81" t="n">
        <x:f>MIN(47,INT(B81*47)+1)</x:f>
        <x:v>41</x:v>
      </x:c>
      <x:c r="D81" t="n">
        <x:f>INDEX(Datos_47_semanas!$B$4:$B$50,C81)</x:f>
        <x:v>383</x:v>
      </x:c>
      <x:c r="E81" t="n">
        <x:f>MIN($B$4,D81)*$B$7+MAX($B$4-D81,0)*$B$9-$B$4*$B$8</x:f>
        <x:v>200</x:v>
      </x:c>
      <x:c r="F81" t="n">
        <x:f>MIN($B$5,D81)*$B$7+MAX($B$5-D81,0)*$B$9-$B$5*$B$8</x:f>
        <x:v>240</x:v>
      </x:c>
      <x:c r="G81" t="n">
        <x:f>MIN($B$6,D81)*$B$7+MAX($B$6-D81,0)*$B$9-$B$6*$B$8</x:f>
        <x:v>297.04999999999995</x:v>
      </x:c>
      <x:c r="H81" t="n">
        <x:f>MAX(D81-$B$5,0)</x:f>
        <x:v>83</x:v>
      </x:c>
      <x:c r="I81" t="n">
        <x:f>MAX($B$5-D81,0)</x:f>
        <x:v>0</x:v>
      </x:c>
    </x:row>
    <x:row r="82">
      <x:c r="A82" t="n">
        <x:f>70</x:f>
        <x:v>70</x:v>
      </x:c>
      <x:c r="B82" t="n">
        <x:f>RAND()</x:f>
        <x:v>0.705448971006179</x:v>
      </x:c>
      <x:c r="C82" t="n">
        <x:f>MIN(47,INT(B82*47)+1)</x:f>
        <x:v>34</x:v>
      </x:c>
      <x:c r="D82" t="n">
        <x:f>INDEX(Datos_47_semanas!$B$4:$B$50,C82)</x:f>
        <x:v>281</x:v>
      </x:c>
      <x:c r="E82" t="n">
        <x:f>MIN($B$4,D82)*$B$7+MAX($B$4-D82,0)*$B$9-$B$4*$B$8</x:f>
        <x:v>200</x:v>
      </x:c>
      <x:c r="F82" t="n">
        <x:f>MIN($B$5,D82)*$B$7+MAX($B$5-D82,0)*$B$9-$B$5*$B$8</x:f>
        <x:v>214.34999999999997</x:v>
      </x:c>
      <x:c r="G82" t="n">
        <x:f>MIN($B$6,D82)*$B$7+MAX($B$6-D82,0)*$B$9-$B$6*$B$8</x:f>
        <x:v>159.34999999999997</x:v>
      </x:c>
      <x:c r="H82" t="n">
        <x:f>MAX(D82-$B$5,0)</x:f>
        <x:v>0</x:v>
      </x:c>
      <x:c r="I82" t="n">
        <x:f>MAX($B$5-D82,0)</x:f>
        <x:v>19</x:v>
      </x:c>
    </x:row>
    <x:row r="83">
      <x:c r="A83" t="n">
        <x:f>71</x:f>
        <x:v>71</x:v>
      </x:c>
      <x:c r="B83" t="n">
        <x:f>RAND()</x:f>
        <x:v>0.7395708585702243</x:v>
      </x:c>
      <x:c r="C83" t="n">
        <x:f>MIN(47,INT(B83*47)+1)</x:f>
        <x:v>35</x:v>
      </x:c>
      <x:c r="D83" t="n">
        <x:f>INDEX(Datos_47_semanas!$B$4:$B$50,C83)</x:f>
        <x:v>192</x:v>
      </x:c>
      <x:c r="E83" t="n">
        <x:f>MIN($B$4,D83)*$B$7+MAX($B$4-D83,0)*$B$9-$B$4*$B$8</x:f>
        <x:v>121.69999999999993</x:v>
      </x:c>
      <x:c r="F83" t="n">
        <x:f>MIN($B$5,D83)*$B$7+MAX($B$5-D83,0)*$B$9-$B$5*$B$8</x:f>
        <x:v>94.19999999999993</x:v>
      </x:c>
      <x:c r="G83" t="n">
        <x:f>MIN($B$6,D83)*$B$7+MAX($B$6-D83,0)*$B$9-$B$6*$B$8</x:f>
        <x:v>39.19999999999993</x:v>
      </x:c>
      <x:c r="H83" t="n">
        <x:f>MAX(D83-$B$5,0)</x:f>
        <x:v>0</x:v>
      </x:c>
      <x:c r="I83" t="n">
        <x:f>MAX($B$5-D83,0)</x:f>
        <x:v>108</x:v>
      </x:c>
    </x:row>
    <x:row r="84">
      <x:c r="A84" t="n">
        <x:f>72</x:f>
        <x:v>72</x:v>
      </x:c>
      <x:c r="B84" t="n">
        <x:f>RAND()</x:f>
        <x:v>0.4016036940360689</x:v>
      </x:c>
      <x:c r="C84" t="n">
        <x:f>MIN(47,INT(B84*47)+1)</x:f>
        <x:v>19</x:v>
      </x:c>
      <x:c r="D84" t="n">
        <x:f>INDEX(Datos_47_semanas!$B$4:$B$50,C84)</x:f>
        <x:v>470</x:v>
      </x:c>
      <x:c r="E84" t="n">
        <x:f>MIN($B$4,D84)*$B$7+MAX($B$4-D84,0)*$B$9-$B$4*$B$8</x:f>
        <x:v>200</x:v>
      </x:c>
      <x:c r="F84" t="n">
        <x:f>MIN($B$5,D84)*$B$7+MAX($B$5-D84,0)*$B$9-$B$5*$B$8</x:f>
        <x:v>240</x:v>
      </x:c>
      <x:c r="G84" t="n">
        <x:f>MIN($B$6,D84)*$B$7+MAX($B$6-D84,0)*$B$9-$B$6*$B$8</x:f>
        <x:v>320</x:v>
      </x:c>
      <x:c r="H84" t="n">
        <x:f>MAX(D84-$B$5,0)</x:f>
        <x:v>170</x:v>
      </x:c>
      <x:c r="I84" t="n">
        <x:f>MAX($B$5-D84,0)</x:f>
        <x:v>0</x:v>
      </x:c>
    </x:row>
    <x:row r="85">
      <x:c r="A85" t="n">
        <x:f>73</x:f>
        <x:v>73</x:v>
      </x:c>
      <x:c r="B85" t="n">
        <x:f>RAND()</x:f>
        <x:v>0.10035910826310279</x:v>
      </x:c>
      <x:c r="C85" t="n">
        <x:f>MIN(47,INT(B85*47)+1)</x:f>
        <x:v>5</x:v>
      </x:c>
      <x:c r="D85" t="n">
        <x:f>INDEX(Datos_47_semanas!$B$4:$B$50,C85)</x:f>
        <x:v>347</x:v>
      </x:c>
      <x:c r="E85" t="n">
        <x:f>MIN($B$4,D85)*$B$7+MAX($B$4-D85,0)*$B$9-$B$4*$B$8</x:f>
        <x:v>200</x:v>
      </x:c>
      <x:c r="F85" t="n">
        <x:f>MIN($B$5,D85)*$B$7+MAX($B$5-D85,0)*$B$9-$B$5*$B$8</x:f>
        <x:v>240</x:v>
      </x:c>
      <x:c r="G85" t="n">
        <x:f>MIN($B$6,D85)*$B$7+MAX($B$6-D85,0)*$B$9-$B$6*$B$8</x:f>
        <x:v>248.44999999999993</x:v>
      </x:c>
      <x:c r="H85" t="n">
        <x:f>MAX(D85-$B$5,0)</x:f>
        <x:v>47</x:v>
      </x:c>
      <x:c r="I85" t="n">
        <x:f>MAX($B$5-D85,0)</x:f>
        <x:v>0</x:v>
      </x:c>
    </x:row>
    <x:row r="86">
      <x:c r="A86" t="n">
        <x:f>74</x:f>
        <x:v>74</x:v>
      </x:c>
      <x:c r="B86" t="n">
        <x:f>RAND()</x:f>
        <x:v>0.45338386878066295</x:v>
      </x:c>
      <x:c r="C86" t="n">
        <x:f>MIN(47,INT(B86*47)+1)</x:f>
        <x:v>22</x:v>
      </x:c>
      <x:c r="D86" t="n">
        <x:f>INDEX(Datos_47_semanas!$B$4:$B$50,C86)</x:f>
        <x:v>171</x:v>
      </x:c>
      <x:c r="E86" t="n">
        <x:f>MIN($B$4,D86)*$B$7+MAX($B$4-D86,0)*$B$9-$B$4*$B$8</x:f>
        <x:v>93.34999999999997</x:v>
      </x:c>
      <x:c r="F86" t="n">
        <x:f>MIN($B$5,D86)*$B$7+MAX($B$5-D86,0)*$B$9-$B$5*$B$8</x:f>
        <x:v>65.84999999999997</x:v>
      </x:c>
      <x:c r="G86" t="n">
        <x:f>MIN($B$6,D86)*$B$7+MAX($B$6-D86,0)*$B$9-$B$6*$B$8</x:f>
        <x:v>10.849999999999966</x:v>
      </x:c>
      <x:c r="H86" t="n">
        <x:f>MAX(D86-$B$5,0)</x:f>
        <x:v>0</x:v>
      </x:c>
      <x:c r="I86" t="n">
        <x:f>MAX($B$5-D86,0)</x:f>
        <x:v>129</x:v>
      </x:c>
    </x:row>
    <x:row r="87">
      <x:c r="A87" t="n">
        <x:f>75</x:f>
        <x:v>75</x:v>
      </x:c>
      <x:c r="B87" t="n">
        <x:f>RAND()</x:f>
        <x:v>0.33009272561076564</x:v>
      </x:c>
      <x:c r="C87" t="n">
        <x:f>MIN(47,INT(B87*47)+1)</x:f>
        <x:v>16</x:v>
      </x:c>
      <x:c r="D87" t="n">
        <x:f>INDEX(Datos_47_semanas!$B$4:$B$50,C87)</x:f>
        <x:v>318</x:v>
      </x:c>
      <x:c r="E87" t="n">
        <x:f>MIN($B$4,D87)*$B$7+MAX($B$4-D87,0)*$B$9-$B$4*$B$8</x:f>
        <x:v>200</x:v>
      </x:c>
      <x:c r="F87" t="n">
        <x:f>MIN($B$5,D87)*$B$7+MAX($B$5-D87,0)*$B$9-$B$5*$B$8</x:f>
        <x:v>240</x:v>
      </x:c>
      <x:c r="G87" t="n">
        <x:f>MIN($B$6,D87)*$B$7+MAX($B$6-D87,0)*$B$9-$B$6*$B$8</x:f>
        <x:v>209.29999999999995</x:v>
      </x:c>
      <x:c r="H87" t="n">
        <x:f>MAX(D87-$B$5,0)</x:f>
        <x:v>18</x:v>
      </x:c>
      <x:c r="I87" t="n">
        <x:f>MAX($B$5-D87,0)</x:f>
        <x:v>0</x:v>
      </x:c>
    </x:row>
    <x:row r="88">
      <x:c r="A88" t="n">
        <x:f>76</x:f>
        <x:v>76</x:v>
      </x:c>
      <x:c r="B88" t="n">
        <x:f>RAND()</x:f>
        <x:v>0.6997010452469753</x:v>
      </x:c>
      <x:c r="C88" t="n">
        <x:f>MIN(47,INT(B88*47)+1)</x:f>
        <x:v>33</x:v>
      </x:c>
      <x:c r="D88" t="n">
        <x:f>INDEX(Datos_47_semanas!$B$4:$B$50,C88)</x:f>
        <x:v>373</x:v>
      </x:c>
      <x:c r="E88" t="n">
        <x:f>MIN($B$4,D88)*$B$7+MAX($B$4-D88,0)*$B$9-$B$4*$B$8</x:f>
        <x:v>200</x:v>
      </x:c>
      <x:c r="F88" t="n">
        <x:f>MIN($B$5,D88)*$B$7+MAX($B$5-D88,0)*$B$9-$B$5*$B$8</x:f>
        <x:v>240</x:v>
      </x:c>
      <x:c r="G88" t="n">
        <x:f>MIN($B$6,D88)*$B$7+MAX($B$6-D88,0)*$B$9-$B$6*$B$8</x:f>
        <x:v>283.54999999999995</x:v>
      </x:c>
      <x:c r="H88" t="n">
        <x:f>MAX(D88-$B$5,0)</x:f>
        <x:v>73</x:v>
      </x:c>
      <x:c r="I88" t="n">
        <x:f>MAX($B$5-D88,0)</x:f>
        <x:v>0</x:v>
      </x:c>
    </x:row>
    <x:row r="89">
      <x:c r="A89" t="n">
        <x:f>77</x:f>
        <x:v>77</x:v>
      </x:c>
      <x:c r="B89" t="n">
        <x:f>RAND()</x:f>
        <x:v>0.4088597977245446</x:v>
      </x:c>
      <x:c r="C89" t="n">
        <x:f>MIN(47,INT(B89*47)+1)</x:f>
        <x:v>20</x:v>
      </x:c>
      <x:c r="D89" t="n">
        <x:f>INDEX(Datos_47_semanas!$B$4:$B$50,C89)</x:f>
        <x:v>335</x:v>
      </x:c>
      <x:c r="E89" t="n">
        <x:f>MIN($B$4,D89)*$B$7+MAX($B$4-D89,0)*$B$9-$B$4*$B$8</x:f>
        <x:v>200</x:v>
      </x:c>
      <x:c r="F89" t="n">
        <x:f>MIN($B$5,D89)*$B$7+MAX($B$5-D89,0)*$B$9-$B$5*$B$8</x:f>
        <x:v>240</x:v>
      </x:c>
      <x:c r="G89" t="n">
        <x:f>MIN($B$6,D89)*$B$7+MAX($B$6-D89,0)*$B$9-$B$6*$B$8</x:f>
        <x:v>232.25</x:v>
      </x:c>
      <x:c r="H89" t="n">
        <x:f>MAX(D89-$B$5,0)</x:f>
        <x:v>35</x:v>
      </x:c>
      <x:c r="I89" t="n">
        <x:f>MAX($B$5-D89,0)</x:f>
        <x:v>0</x:v>
      </x:c>
    </x:row>
    <x:row r="90">
      <x:c r="A90" t="n">
        <x:f>78</x:f>
        <x:v>78</x:v>
      </x:c>
      <x:c r="B90" t="n">
        <x:f>RAND()</x:f>
        <x:v>0.1297990221917118</x:v>
      </x:c>
      <x:c r="C90" t="n">
        <x:f>MIN(47,INT(B90*47)+1)</x:f>
        <x:v>7</x:v>
      </x:c>
      <x:c r="D90" t="n">
        <x:f>INDEX(Datos_47_semanas!$B$4:$B$50,C90)</x:f>
        <x:v>249</x:v>
      </x:c>
      <x:c r="E90" t="n">
        <x:f>MIN($B$4,D90)*$B$7+MAX($B$4-D90,0)*$B$9-$B$4*$B$8</x:f>
        <x:v>198.64999999999998</x:v>
      </x:c>
      <x:c r="F90" t="n">
        <x:f>MIN($B$5,D90)*$B$7+MAX($B$5-D90,0)*$B$9-$B$5*$B$8</x:f>
        <x:v>171.14999999999998</x:v>
      </x:c>
      <x:c r="G90" t="n">
        <x:f>MIN($B$6,D90)*$B$7+MAX($B$6-D90,0)*$B$9-$B$6*$B$8</x:f>
        <x:v>116.14999999999998</x:v>
      </x:c>
      <x:c r="H90" t="n">
        <x:f>MAX(D90-$B$5,0)</x:f>
        <x:v>0</x:v>
      </x:c>
      <x:c r="I90" t="n">
        <x:f>MAX($B$5-D90,0)</x:f>
        <x:v>51</x:v>
      </x:c>
    </x:row>
    <x:row r="91">
      <x:c r="A91" t="n">
        <x:f>79</x:f>
        <x:v>79</x:v>
      </x:c>
      <x:c r="B91" t="n">
        <x:f>RAND()</x:f>
        <x:v>0.5437769092789785</x:v>
      </x:c>
      <x:c r="C91" t="n">
        <x:f>MIN(47,INT(B91*47)+1)</x:f>
        <x:v>26</x:v>
      </x:c>
      <x:c r="D91" t="n">
        <x:f>INDEX(Datos_47_semanas!$B$4:$B$50,C91)</x:f>
        <x:v>183</x:v>
      </x:c>
      <x:c r="E91" t="n">
        <x:f>MIN($B$4,D91)*$B$7+MAX($B$4-D91,0)*$B$9-$B$4*$B$8</x:f>
        <x:v>109.55000000000001</x:v>
      </x:c>
      <x:c r="F91" t="n">
        <x:f>MIN($B$5,D91)*$B$7+MAX($B$5-D91,0)*$B$9-$B$5*$B$8</x:f>
        <x:v>82.05000000000001</x:v>
      </x:c>
      <x:c r="G91" t="n">
        <x:f>MIN($B$6,D91)*$B$7+MAX($B$6-D91,0)*$B$9-$B$6*$B$8</x:f>
        <x:v>27.049999999999955</x:v>
      </x:c>
      <x:c r="H91" t="n">
        <x:f>MAX(D91-$B$5,0)</x:f>
        <x:v>0</x:v>
      </x:c>
      <x:c r="I91" t="n">
        <x:f>MAX($B$5-D91,0)</x:f>
        <x:v>117</x:v>
      </x:c>
    </x:row>
    <x:row r="92">
      <x:c r="A92" t="n">
        <x:f>80</x:f>
        <x:v>80</x:v>
      </x:c>
      <x:c r="B92" t="n">
        <x:f>RAND()</x:f>
        <x:v>0.8187517887423987</x:v>
      </x:c>
      <x:c r="C92" t="n">
        <x:f>MIN(47,INT(B92*47)+1)</x:f>
        <x:v>39</x:v>
      </x:c>
      <x:c r="D92" t="n">
        <x:f>INDEX(Datos_47_semanas!$B$4:$B$50,C92)</x:f>
        <x:v>228</x:v>
      </x:c>
      <x:c r="E92" t="n">
        <x:f>MIN($B$4,D92)*$B$7+MAX($B$4-D92,0)*$B$9-$B$4*$B$8</x:f>
        <x:v>170.3</x:v>
      </x:c>
      <x:c r="F92" t="n">
        <x:f>MIN($B$5,D92)*$B$7+MAX($B$5-D92,0)*$B$9-$B$5*$B$8</x:f>
        <x:v>142.8</x:v>
      </x:c>
      <x:c r="G92" t="n">
        <x:f>MIN($B$6,D92)*$B$7+MAX($B$6-D92,0)*$B$9-$B$6*$B$8</x:f>
        <x:v>87.80000000000001</x:v>
      </x:c>
      <x:c r="H92" t="n">
        <x:f>MAX(D92-$B$5,0)</x:f>
        <x:v>0</x:v>
      </x:c>
      <x:c r="I92" t="n">
        <x:f>MAX($B$5-D92,0)</x:f>
        <x:v>72</x:v>
      </x:c>
    </x:row>
    <x:row r="93">
      <x:c r="A93" t="n">
        <x:f>81</x:f>
        <x:v>81</x:v>
      </x:c>
      <x:c r="B93" t="n">
        <x:f>RAND()</x:f>
        <x:v>0.7363988248139112</x:v>
      </x:c>
      <x:c r="C93" t="n">
        <x:f>MIN(47,INT(B93*47)+1)</x:f>
        <x:v>35</x:v>
      </x:c>
      <x:c r="D93" t="n">
        <x:f>INDEX(Datos_47_semanas!$B$4:$B$50,C93)</x:f>
        <x:v>192</x:v>
      </x:c>
      <x:c r="E93" t="n">
        <x:f>MIN($B$4,D93)*$B$7+MAX($B$4-D93,0)*$B$9-$B$4*$B$8</x:f>
        <x:v>121.69999999999993</x:v>
      </x:c>
      <x:c r="F93" t="n">
        <x:f>MIN($B$5,D93)*$B$7+MAX($B$5-D93,0)*$B$9-$B$5*$B$8</x:f>
        <x:v>94.19999999999993</x:v>
      </x:c>
      <x:c r="G93" t="n">
        <x:f>MIN($B$6,D93)*$B$7+MAX($B$6-D93,0)*$B$9-$B$6*$B$8</x:f>
        <x:v>39.19999999999993</x:v>
      </x:c>
      <x:c r="H93" t="n">
        <x:f>MAX(D93-$B$5,0)</x:f>
        <x:v>0</x:v>
      </x:c>
      <x:c r="I93" t="n">
        <x:f>MAX($B$5-D93,0)</x:f>
        <x:v>108</x:v>
      </x:c>
    </x:row>
    <x:row r="94">
      <x:c r="A94" t="n">
        <x:f>82</x:f>
        <x:v>82</x:v>
      </x:c>
      <x:c r="B94" t="n">
        <x:f>RAND()</x:f>
        <x:v>0.07949076954857437</x:v>
      </x:c>
      <x:c r="C94" t="n">
        <x:f>MIN(47,INT(B94*47)+1)</x:f>
        <x:v>4</x:v>
      </x:c>
      <x:c r="D94" t="n">
        <x:f>INDEX(Datos_47_semanas!$B$4:$B$50,C94)</x:f>
        <x:v>161</x:v>
      </x:c>
      <x:c r="E94" t="n">
        <x:f>MIN($B$4,D94)*$B$7+MAX($B$4-D94,0)*$B$9-$B$4*$B$8</x:f>
        <x:v>79.84999999999997</x:v>
      </x:c>
      <x:c r="F94" t="n">
        <x:f>MIN($B$5,D94)*$B$7+MAX($B$5-D94,0)*$B$9-$B$5*$B$8</x:f>
        <x:v>52.349999999999966</x:v>
      </x:c>
      <x:c r="G94" t="n">
        <x:f>MIN($B$6,D94)*$B$7+MAX($B$6-D94,0)*$B$9-$B$6*$B$8</x:f>
        <x:v>-2.650000000000034</x:v>
      </x:c>
      <x:c r="H94" t="n">
        <x:f>MAX(D94-$B$5,0)</x:f>
        <x:v>0</x:v>
      </x:c>
      <x:c r="I94" t="n">
        <x:f>MAX($B$5-D94,0)</x:f>
        <x:v>139</x:v>
      </x:c>
    </x:row>
    <x:row r="95">
      <x:c r="A95" t="n">
        <x:f>83</x:f>
        <x:v>83</x:v>
      </x:c>
      <x:c r="B95" t="n">
        <x:f>RAND()</x:f>
        <x:v>0.7952835735339627</x:v>
      </x:c>
      <x:c r="C95" t="n">
        <x:f>MIN(47,INT(B95*47)+1)</x:f>
        <x:v>38</x:v>
      </x:c>
      <x:c r="D95" t="n">
        <x:f>INDEX(Datos_47_semanas!$B$4:$B$50,C95)</x:f>
        <x:v>212</x:v>
      </x:c>
      <x:c r="E95" t="n">
        <x:f>MIN($B$4,D95)*$B$7+MAX($B$4-D95,0)*$B$9-$B$4*$B$8</x:f>
        <x:v>148.69999999999993</x:v>
      </x:c>
      <x:c r="F95" t="n">
        <x:f>MIN($B$5,D95)*$B$7+MAX($B$5-D95,0)*$B$9-$B$5*$B$8</x:f>
        <x:v>121.19999999999993</x:v>
      </x:c>
      <x:c r="G95" t="n">
        <x:f>MIN($B$6,D95)*$B$7+MAX($B$6-D95,0)*$B$9-$B$6*$B$8</x:f>
        <x:v>66.19999999999993</x:v>
      </x:c>
      <x:c r="H95" t="n">
        <x:f>MAX(D95-$B$5,0)</x:f>
        <x:v>0</x:v>
      </x:c>
      <x:c r="I95" t="n">
        <x:f>MAX($B$5-D95,0)</x:f>
        <x:v>88</x:v>
      </x:c>
    </x:row>
    <x:row r="96">
      <x:c r="A96" t="n">
        <x:f>84</x:f>
        <x:v>84</x:v>
      </x:c>
      <x:c r="B96" t="n">
        <x:f>RAND()</x:f>
        <x:v>0.6251274445676833</x:v>
      </x:c>
      <x:c r="C96" t="n">
        <x:f>MIN(47,INT(B96*47)+1)</x:f>
        <x:v>30</x:v>
      </x:c>
      <x:c r="D96" t="n">
        <x:f>INDEX(Datos_47_semanas!$B$4:$B$50,C96)</x:f>
        <x:v>345</x:v>
      </x:c>
      <x:c r="E96" t="n">
        <x:f>MIN($B$4,D96)*$B$7+MAX($B$4-D96,0)*$B$9-$B$4*$B$8</x:f>
        <x:v>200</x:v>
      </x:c>
      <x:c r="F96" t="n">
        <x:f>MIN($B$5,D96)*$B$7+MAX($B$5-D96,0)*$B$9-$B$5*$B$8</x:f>
        <x:v>240</x:v>
      </x:c>
      <x:c r="G96" t="n">
        <x:f>MIN($B$6,D96)*$B$7+MAX($B$6-D96,0)*$B$9-$B$6*$B$8</x:f>
        <x:v>245.75</x:v>
      </x:c>
      <x:c r="H96" t="n">
        <x:f>MAX(D96-$B$5,0)</x:f>
        <x:v>45</x:v>
      </x:c>
      <x:c r="I96" t="n">
        <x:f>MAX($B$5-D96,0)</x:f>
        <x:v>0</x:v>
      </x:c>
    </x:row>
    <x:row r="97">
      <x:c r="A97" t="n">
        <x:f>85</x:f>
        <x:v>85</x:v>
      </x:c>
      <x:c r="B97" t="n">
        <x:f>RAND()</x:f>
        <x:v>0.7295064225490436</x:v>
      </x:c>
      <x:c r="C97" t="n">
        <x:f>MIN(47,INT(B97*47)+1)</x:f>
        <x:v>35</x:v>
      </x:c>
      <x:c r="D97" t="n">
        <x:f>INDEX(Datos_47_semanas!$B$4:$B$50,C97)</x:f>
        <x:v>192</x:v>
      </x:c>
      <x:c r="E97" t="n">
        <x:f>MIN($B$4,D97)*$B$7+MAX($B$4-D97,0)*$B$9-$B$4*$B$8</x:f>
        <x:v>121.69999999999993</x:v>
      </x:c>
      <x:c r="F97" t="n">
        <x:f>MIN($B$5,D97)*$B$7+MAX($B$5-D97,0)*$B$9-$B$5*$B$8</x:f>
        <x:v>94.19999999999993</x:v>
      </x:c>
      <x:c r="G97" t="n">
        <x:f>MIN($B$6,D97)*$B$7+MAX($B$6-D97,0)*$B$9-$B$6*$B$8</x:f>
        <x:v>39.19999999999993</x:v>
      </x:c>
      <x:c r="H97" t="n">
        <x:f>MAX(D97-$B$5,0)</x:f>
        <x:v>0</x:v>
      </x:c>
      <x:c r="I97" t="n">
        <x:f>MAX($B$5-D97,0)</x:f>
        <x:v>108</x:v>
      </x:c>
    </x:row>
    <x:row r="98">
      <x:c r="A98" t="n">
        <x:f>86</x:f>
        <x:v>86</x:v>
      </x:c>
      <x:c r="B98" t="n">
        <x:f>RAND()</x:f>
        <x:v>0.7691347578802166</x:v>
      </x:c>
      <x:c r="C98" t="n">
        <x:f>MIN(47,INT(B98*47)+1)</x:f>
        <x:v>37</x:v>
      </x:c>
      <x:c r="D98" t="n">
        <x:f>INDEX(Datos_47_semanas!$B$4:$B$50,C98)</x:f>
        <x:v>299</x:v>
      </x:c>
      <x:c r="E98" t="n">
        <x:f>MIN($B$4,D98)*$B$7+MAX($B$4-D98,0)*$B$9-$B$4*$B$8</x:f>
        <x:v>200</x:v>
      </x:c>
      <x:c r="F98" t="n">
        <x:f>MIN($B$5,D98)*$B$7+MAX($B$5-D98,0)*$B$9-$B$5*$B$8</x:f>
        <x:v>238.64999999999998</x:v>
      </x:c>
      <x:c r="G98" t="n">
        <x:f>MIN($B$6,D98)*$B$7+MAX($B$6-D98,0)*$B$9-$B$6*$B$8</x:f>
        <x:v>183.64999999999998</x:v>
      </x:c>
      <x:c r="H98" t="n">
        <x:f>MAX(D98-$B$5,0)</x:f>
        <x:v>0</x:v>
      </x:c>
      <x:c r="I98" t="n">
        <x:f>MAX($B$5-D98,0)</x:f>
        <x:v>1</x:v>
      </x:c>
    </x:row>
    <x:row r="99">
      <x:c r="A99" t="n">
        <x:f>87</x:f>
        <x:v>87</x:v>
      </x:c>
      <x:c r="B99" t="n">
        <x:f>RAND()</x:f>
        <x:v>0.1967135082619218</x:v>
      </x:c>
      <x:c r="C99" t="n">
        <x:f>MIN(47,INT(B99*47)+1)</x:f>
        <x:v>10</x:v>
      </x:c>
      <x:c r="D99" t="n">
        <x:f>INDEX(Datos_47_semanas!$B$4:$B$50,C99)</x:f>
        <x:v>98</x:v>
      </x:c>
      <x:c r="E99" t="n">
        <x:f>MIN($B$4,D99)*$B$7+MAX($B$4-D99,0)*$B$9-$B$4*$B$8</x:f>
        <x:v>-5.200000000000017</x:v>
      </x:c>
      <x:c r="F99" t="n">
        <x:f>MIN($B$5,D99)*$B$7+MAX($B$5-D99,0)*$B$9-$B$5*$B$8</x:f>
        <x:v>-32.70000000000002</x:v>
      </x:c>
      <x:c r="G99" t="n">
        <x:f>MIN($B$6,D99)*$B$7+MAX($B$6-D99,0)*$B$9-$B$6*$B$8</x:f>
        <x:v>-87.70000000000002</x:v>
      </x:c>
      <x:c r="H99" t="n">
        <x:f>MAX(D99-$B$5,0)</x:f>
        <x:v>0</x:v>
      </x:c>
      <x:c r="I99" t="n">
        <x:f>MAX($B$5-D99,0)</x:f>
        <x:v>202</x:v>
      </x:c>
    </x:row>
    <x:row r="100">
      <x:c r="A100" t="n">
        <x:f>88</x:f>
        <x:v>88</x:v>
      </x:c>
      <x:c r="B100" t="n">
        <x:f>RAND()</x:f>
        <x:v>0.2632943406107936</x:v>
      </x:c>
      <x:c r="C100" t="n">
        <x:f>MIN(47,INT(B100*47)+1)</x:f>
        <x:v>13</x:v>
      </x:c>
      <x:c r="D100" t="n">
        <x:f>INDEX(Datos_47_semanas!$B$4:$B$50,C100)</x:f>
        <x:v>517</x:v>
      </x:c>
      <x:c r="E100" t="n">
        <x:f>MIN($B$4,D100)*$B$7+MAX($B$4-D100,0)*$B$9-$B$4*$B$8</x:f>
        <x:v>200</x:v>
      </x:c>
      <x:c r="F100" t="n">
        <x:f>MIN($B$5,D100)*$B$7+MAX($B$5-D100,0)*$B$9-$B$5*$B$8</x:f>
        <x:v>240</x:v>
      </x:c>
      <x:c r="G100" t="n">
        <x:f>MIN($B$6,D100)*$B$7+MAX($B$6-D100,0)*$B$9-$B$6*$B$8</x:f>
        <x:v>320</x:v>
      </x:c>
      <x:c r="H100" t="n">
        <x:f>MAX(D100-$B$5,0)</x:f>
        <x:v>217</x:v>
      </x:c>
      <x:c r="I100" t="n">
        <x:f>MAX($B$5-D100,0)</x:f>
        <x:v>0</x:v>
      </x:c>
    </x:row>
    <x:row r="101">
      <x:c r="A101" t="n">
        <x:f>89</x:f>
        <x:v>89</x:v>
      </x:c>
      <x:c r="B101" t="n">
        <x:f>RAND()</x:f>
        <x:v>0.5772830579947019</x:v>
      </x:c>
      <x:c r="C101" t="n">
        <x:f>MIN(47,INT(B101*47)+1)</x:f>
        <x:v>28</x:v>
      </x:c>
      <x:c r="D101" t="n">
        <x:f>INDEX(Datos_47_semanas!$B$4:$B$50,C101)</x:f>
        <x:v>201</x:v>
      </x:c>
      <x:c r="E101" t="n">
        <x:f>MIN($B$4,D101)*$B$7+MAX($B$4-D101,0)*$B$9-$B$4*$B$8</x:f>
        <x:v>133.84999999999997</x:v>
      </x:c>
      <x:c r="F101" t="n">
        <x:f>MIN($B$5,D101)*$B$7+MAX($B$5-D101,0)*$B$9-$B$5*$B$8</x:f>
        <x:v>106.34999999999997</x:v>
      </x:c>
      <x:c r="G101" t="n">
        <x:f>MIN($B$6,D101)*$B$7+MAX($B$6-D101,0)*$B$9-$B$6*$B$8</x:f>
        <x:v>51.349999999999966</x:v>
      </x:c>
      <x:c r="H101" t="n">
        <x:f>MAX(D101-$B$5,0)</x:f>
        <x:v>0</x:v>
      </x:c>
      <x:c r="I101" t="n">
        <x:f>MAX($B$5-D101,0)</x:f>
        <x:v>99</x:v>
      </x:c>
    </x:row>
    <x:row r="102">
      <x:c r="A102" t="n">
        <x:f>90</x:f>
        <x:v>90</x:v>
      </x:c>
      <x:c r="B102" t="n">
        <x:f>RAND()</x:f>
        <x:v>0.32170442723601655</x:v>
      </x:c>
      <x:c r="C102" t="n">
        <x:f>MIN(47,INT(B102*47)+1)</x:f>
        <x:v>16</x:v>
      </x:c>
      <x:c r="D102" t="n">
        <x:f>INDEX(Datos_47_semanas!$B$4:$B$50,C102)</x:f>
        <x:v>318</x:v>
      </x:c>
      <x:c r="E102" t="n">
        <x:f>MIN($B$4,D102)*$B$7+MAX($B$4-D102,0)*$B$9-$B$4*$B$8</x:f>
        <x:v>200</x:v>
      </x:c>
      <x:c r="F102" t="n">
        <x:f>MIN($B$5,D102)*$B$7+MAX($B$5-D102,0)*$B$9-$B$5*$B$8</x:f>
        <x:v>240</x:v>
      </x:c>
      <x:c r="G102" t="n">
        <x:f>MIN($B$6,D102)*$B$7+MAX($B$6-D102,0)*$B$9-$B$6*$B$8</x:f>
        <x:v>209.29999999999995</x:v>
      </x:c>
      <x:c r="H102" t="n">
        <x:f>MAX(D102-$B$5,0)</x:f>
        <x:v>18</x:v>
      </x:c>
      <x:c r="I102" t="n">
        <x:f>MAX($B$5-D102,0)</x:f>
        <x:v>0</x:v>
      </x:c>
    </x:row>
    <x:row r="103">
      <x:c r="A103" t="n">
        <x:f>91</x:f>
        <x:v>91</x:v>
      </x:c>
      <x:c r="B103" t="n">
        <x:f>RAND()</x:f>
        <x:v>0.5250043727586741</x:v>
      </x:c>
      <x:c r="C103" t="n">
        <x:f>MIN(47,INT(B103*47)+1)</x:f>
        <x:v>25</x:v>
      </x:c>
      <x:c r="D103" t="n">
        <x:f>INDEX(Datos_47_semanas!$B$4:$B$50,C103)</x:f>
        <x:v>218</x:v>
      </x:c>
      <x:c r="E103" t="n">
        <x:f>MIN($B$4,D103)*$B$7+MAX($B$4-D103,0)*$B$9-$B$4*$B$8</x:f>
        <x:v>156.8</x:v>
      </x:c>
      <x:c r="F103" t="n">
        <x:f>MIN($B$5,D103)*$B$7+MAX($B$5-D103,0)*$B$9-$B$5*$B$8</x:f>
        <x:v>129.3</x:v>
      </x:c>
      <x:c r="G103" t="n">
        <x:f>MIN($B$6,D103)*$B$7+MAX($B$6-D103,0)*$B$9-$B$6*$B$8</x:f>
        <x:v>74.30000000000001</x:v>
      </x:c>
      <x:c r="H103" t="n">
        <x:f>MAX(D103-$B$5,0)</x:f>
        <x:v>0</x:v>
      </x:c>
      <x:c r="I103" t="n">
        <x:f>MAX($B$5-D103,0)</x:f>
        <x:v>82</x:v>
      </x:c>
    </x:row>
    <x:row r="104">
      <x:c r="A104" t="n">
        <x:f>92</x:f>
        <x:v>92</x:v>
      </x:c>
      <x:c r="B104" t="n">
        <x:f>RAND()</x:f>
        <x:v>0.5593469211696198</x:v>
      </x:c>
      <x:c r="C104" t="n">
        <x:f>MIN(47,INT(B104*47)+1)</x:f>
        <x:v>27</x:v>
      </x:c>
      <x:c r="D104" t="n">
        <x:f>INDEX(Datos_47_semanas!$B$4:$B$50,C104)</x:f>
        <x:v>293</x:v>
      </x:c>
      <x:c r="E104" t="n">
        <x:f>MIN($B$4,D104)*$B$7+MAX($B$4-D104,0)*$B$9-$B$4*$B$8</x:f>
        <x:v>200</x:v>
      </x:c>
      <x:c r="F104" t="n">
        <x:f>MIN($B$5,D104)*$B$7+MAX($B$5-D104,0)*$B$9-$B$5*$B$8</x:f>
        <x:v>230.55</x:v>
      </x:c>
      <x:c r="G104" t="n">
        <x:f>MIN($B$6,D104)*$B$7+MAX($B$6-D104,0)*$B$9-$B$6*$B$8</x:f>
        <x:v>175.54999999999995</x:v>
      </x:c>
      <x:c r="H104" t="n">
        <x:f>MAX(D104-$B$5,0)</x:f>
        <x:v>0</x:v>
      </x:c>
      <x:c r="I104" t="n">
        <x:f>MAX($B$5-D104,0)</x:f>
        <x:v>7</x:v>
      </x:c>
    </x:row>
    <x:row r="105">
      <x:c r="A105" t="n">
        <x:f>93</x:f>
        <x:v>93</x:v>
      </x:c>
      <x:c r="B105" t="n">
        <x:f>RAND()</x:f>
        <x:v>0.9005348125794306</x:v>
      </x:c>
      <x:c r="C105" t="n">
        <x:f>MIN(47,INT(B105*47)+1)</x:f>
        <x:v>43</x:v>
      </x:c>
      <x:c r="D105" t="n">
        <x:f>INDEX(Datos_47_semanas!$B$4:$B$50,C105)</x:f>
        <x:v>234</x:v>
      </x:c>
      <x:c r="E105" t="n">
        <x:f>MIN($B$4,D105)*$B$7+MAX($B$4-D105,0)*$B$9-$B$4*$B$8</x:f>
        <x:v>178.39999999999998</x:v>
      </x:c>
      <x:c r="F105" t="n">
        <x:f>MIN($B$5,D105)*$B$7+MAX($B$5-D105,0)*$B$9-$B$5*$B$8</x:f>
        <x:v>150.89999999999998</x:v>
      </x:c>
      <x:c r="G105" t="n">
        <x:f>MIN($B$6,D105)*$B$7+MAX($B$6-D105,0)*$B$9-$B$6*$B$8</x:f>
        <x:v>95.89999999999998</x:v>
      </x:c>
      <x:c r="H105" t="n">
        <x:f>MAX(D105-$B$5,0)</x:f>
        <x:v>0</x:v>
      </x:c>
      <x:c r="I105" t="n">
        <x:f>MAX($B$5-D105,0)</x:f>
        <x:v>66</x:v>
      </x:c>
    </x:row>
    <x:row r="106">
      <x:c r="A106" t="n">
        <x:f>94</x:f>
        <x:v>94</x:v>
      </x:c>
      <x:c r="B106" t="n">
        <x:f>RAND()</x:f>
        <x:v>0.4052161610424275</x:v>
      </x:c>
      <x:c r="C106" t="n">
        <x:f>MIN(47,INT(B106*47)+1)</x:f>
        <x:v>20</x:v>
      </x:c>
      <x:c r="D106" t="n">
        <x:f>INDEX(Datos_47_semanas!$B$4:$B$50,C106)</x:f>
        <x:v>335</x:v>
      </x:c>
      <x:c r="E106" t="n">
        <x:f>MIN($B$4,D106)*$B$7+MAX($B$4-D106,0)*$B$9-$B$4*$B$8</x:f>
        <x:v>200</x:v>
      </x:c>
      <x:c r="F106" t="n">
        <x:f>MIN($B$5,D106)*$B$7+MAX($B$5-D106,0)*$B$9-$B$5*$B$8</x:f>
        <x:v>240</x:v>
      </x:c>
      <x:c r="G106" t="n">
        <x:f>MIN($B$6,D106)*$B$7+MAX($B$6-D106,0)*$B$9-$B$6*$B$8</x:f>
        <x:v>232.25</x:v>
      </x:c>
      <x:c r="H106" t="n">
        <x:f>MAX(D106-$B$5,0)</x:f>
        <x:v>35</x:v>
      </x:c>
      <x:c r="I106" t="n">
        <x:f>MAX($B$5-D106,0)</x:f>
        <x:v>0</x:v>
      </x:c>
    </x:row>
    <x:row r="107">
      <x:c r="A107" t="n">
        <x:f>95</x:f>
        <x:v>95</x:v>
      </x:c>
      <x:c r="B107" t="n">
        <x:f>RAND()</x:f>
        <x:v>0.39835433040060997</x:v>
      </x:c>
      <x:c r="C107" t="n">
        <x:f>MIN(47,INT(B107*47)+1)</x:f>
        <x:v>19</x:v>
      </x:c>
      <x:c r="D107" t="n">
        <x:f>INDEX(Datos_47_semanas!$B$4:$B$50,C107)</x:f>
        <x:v>470</x:v>
      </x:c>
      <x:c r="E107" t="n">
        <x:f>MIN($B$4,D107)*$B$7+MAX($B$4-D107,0)*$B$9-$B$4*$B$8</x:f>
        <x:v>200</x:v>
      </x:c>
      <x:c r="F107" t="n">
        <x:f>MIN($B$5,D107)*$B$7+MAX($B$5-D107,0)*$B$9-$B$5*$B$8</x:f>
        <x:v>240</x:v>
      </x:c>
      <x:c r="G107" t="n">
        <x:f>MIN($B$6,D107)*$B$7+MAX($B$6-D107,0)*$B$9-$B$6*$B$8</x:f>
        <x:v>320</x:v>
      </x:c>
      <x:c r="H107" t="n">
        <x:f>MAX(D107-$B$5,0)</x:f>
        <x:v>170</x:v>
      </x:c>
      <x:c r="I107" t="n">
        <x:f>MAX($B$5-D107,0)</x:f>
        <x:v>0</x:v>
      </x:c>
    </x:row>
    <x:row r="108">
      <x:c r="A108" t="n">
        <x:f>96</x:f>
        <x:v>96</x:v>
      </x:c>
      <x:c r="B108" t="n">
        <x:f>RAND()</x:f>
        <x:v>0.8880982226996034</x:v>
      </x:c>
      <x:c r="C108" t="n">
        <x:f>MIN(47,INT(B108*47)+1)</x:f>
        <x:v>42</x:v>
      </x:c>
      <x:c r="D108" t="n">
        <x:f>INDEX(Datos_47_semanas!$B$4:$B$50,C108)</x:f>
        <x:v>146</x:v>
      </x:c>
      <x:c r="E108" t="n">
        <x:f>MIN($B$4,D108)*$B$7+MAX($B$4-D108,0)*$B$9-$B$4*$B$8</x:f>
        <x:v>59.599999999999966</x:v>
      </x:c>
      <x:c r="F108" t="n">
        <x:f>MIN($B$5,D108)*$B$7+MAX($B$5-D108,0)*$B$9-$B$5*$B$8</x:f>
        <x:v>32.099999999999966</x:v>
      </x:c>
      <x:c r="G108" t="n">
        <x:f>MIN($B$6,D108)*$B$7+MAX($B$6-D108,0)*$B$9-$B$6*$B$8</x:f>
        <x:v>-22.900000000000034</x:v>
      </x:c>
      <x:c r="H108" t="n">
        <x:f>MAX(D108-$B$5,0)</x:f>
        <x:v>0</x:v>
      </x:c>
      <x:c r="I108" t="n">
        <x:f>MAX($B$5-D108,0)</x:f>
        <x:v>154</x:v>
      </x:c>
    </x:row>
    <x:row r="109">
      <x:c r="A109" t="n">
        <x:f>97</x:f>
        <x:v>97</x:v>
      </x:c>
      <x:c r="B109" t="n">
        <x:f>RAND()</x:f>
        <x:v>0.2795485003317729</x:v>
      </x:c>
      <x:c r="C109" t="n">
        <x:f>MIN(47,INT(B109*47)+1)</x:f>
        <x:v>14</x:v>
      </x:c>
      <x:c r="D109" t="n">
        <x:f>INDEX(Datos_47_semanas!$B$4:$B$50,C109)</x:f>
        <x:v>187</x:v>
      </x:c>
      <x:c r="E109" t="n">
        <x:f>MIN($B$4,D109)*$B$7+MAX($B$4-D109,0)*$B$9-$B$4*$B$8</x:f>
        <x:v>114.94999999999999</x:v>
      </x:c>
      <x:c r="F109" t="n">
        <x:f>MIN($B$5,D109)*$B$7+MAX($B$5-D109,0)*$B$9-$B$5*$B$8</x:f>
        <x:v>87.44999999999999</x:v>
      </x:c>
      <x:c r="G109" t="n">
        <x:f>MIN($B$6,D109)*$B$7+MAX($B$6-D109,0)*$B$9-$B$6*$B$8</x:f>
        <x:v>32.44999999999999</x:v>
      </x:c>
      <x:c r="H109" t="n">
        <x:f>MAX(D109-$B$5,0)</x:f>
        <x:v>0</x:v>
      </x:c>
      <x:c r="I109" t="n">
        <x:f>MAX($B$5-D109,0)</x:f>
        <x:v>113</x:v>
      </x:c>
    </x:row>
    <x:row r="110">
      <x:c r="A110" t="n">
        <x:f>98</x:f>
        <x:v>98</x:v>
      </x:c>
      <x:c r="B110" t="n">
        <x:f>RAND()</x:f>
        <x:v>0.6791559433381507</x:v>
      </x:c>
      <x:c r="C110" t="n">
        <x:f>MIN(47,INT(B110*47)+1)</x:f>
        <x:v>32</x:v>
      </x:c>
      <x:c r="D110" t="n">
        <x:f>INDEX(Datos_47_semanas!$B$4:$B$50,C110)</x:f>
        <x:v>575</x:v>
      </x:c>
      <x:c r="E110" t="n">
        <x:f>MIN($B$4,D110)*$B$7+MAX($B$4-D110,0)*$B$9-$B$4*$B$8</x:f>
        <x:v>200</x:v>
      </x:c>
      <x:c r="F110" t="n">
        <x:f>MIN($B$5,D110)*$B$7+MAX($B$5-D110,0)*$B$9-$B$5*$B$8</x:f>
        <x:v>240</x:v>
      </x:c>
      <x:c r="G110" t="n">
        <x:f>MIN($B$6,D110)*$B$7+MAX($B$6-D110,0)*$B$9-$B$6*$B$8</x:f>
        <x:v>320</x:v>
      </x:c>
      <x:c r="H110" t="n">
        <x:f>MAX(D110-$B$5,0)</x:f>
        <x:v>275</x:v>
      </x:c>
      <x:c r="I110" t="n">
        <x:f>MAX($B$5-D110,0)</x:f>
        <x:v>0</x:v>
      </x:c>
    </x:row>
    <x:row r="111">
      <x:c r="A111" t="n">
        <x:f>99</x:f>
        <x:v>99</x:v>
      </x:c>
      <x:c r="B111" t="n">
        <x:f>RAND()</x:f>
        <x:v>0.4802217052056187</x:v>
      </x:c>
      <x:c r="C111" t="n">
        <x:f>MIN(47,INT(B111*47)+1)</x:f>
        <x:v>23</x:v>
      </x:c>
      <x:c r="D111" t="n">
        <x:f>INDEX(Datos_47_semanas!$B$4:$B$50,C111)</x:f>
        <x:v>565</x:v>
      </x:c>
      <x:c r="E111" t="n">
        <x:f>MIN($B$4,D111)*$B$7+MAX($B$4-D111,0)*$B$9-$B$4*$B$8</x:f>
        <x:v>200</x:v>
      </x:c>
      <x:c r="F111" t="n">
        <x:f>MIN($B$5,D111)*$B$7+MAX($B$5-D111,0)*$B$9-$B$5*$B$8</x:f>
        <x:v>240</x:v>
      </x:c>
      <x:c r="G111" t="n">
        <x:f>MIN($B$6,D111)*$B$7+MAX($B$6-D111,0)*$B$9-$B$6*$B$8</x:f>
        <x:v>320</x:v>
      </x:c>
      <x:c r="H111" t="n">
        <x:f>MAX(D111-$B$5,0)</x:f>
        <x:v>265</x:v>
      </x:c>
      <x:c r="I111" t="n">
        <x:f>MAX($B$5-D111,0)</x:f>
        <x:v>0</x:v>
      </x:c>
    </x:row>
    <x:row r="112">
      <x:c r="A112" t="n">
        <x:f>100</x:f>
        <x:v>100</x:v>
      </x:c>
      <x:c r="B112" t="n">
        <x:f>RAND()</x:f>
        <x:v>0.8864625835496206</x:v>
      </x:c>
      <x:c r="C112" t="n">
        <x:f>MIN(47,INT(B112*47)+1)</x:f>
        <x:v>42</x:v>
      </x:c>
      <x:c r="D112" t="n">
        <x:f>INDEX(Datos_47_semanas!$B$4:$B$50,C112)</x:f>
        <x:v>146</x:v>
      </x:c>
      <x:c r="E112" t="n">
        <x:f>MIN($B$4,D112)*$B$7+MAX($B$4-D112,0)*$B$9-$B$4*$B$8</x:f>
        <x:v>59.599999999999966</x:v>
      </x:c>
      <x:c r="F112" t="n">
        <x:f>MIN($B$5,D112)*$B$7+MAX($B$5-D112,0)*$B$9-$B$5*$B$8</x:f>
        <x:v>32.099999999999966</x:v>
      </x:c>
      <x:c r="G112" t="n">
        <x:f>MIN($B$6,D112)*$B$7+MAX($B$6-D112,0)*$B$9-$B$6*$B$8</x:f>
        <x:v>-22.900000000000034</x:v>
      </x:c>
      <x:c r="H112" t="n">
        <x:f>MAX(D112-$B$5,0)</x:f>
        <x:v>0</x:v>
      </x:c>
      <x:c r="I112" t="n">
        <x:f>MAX($B$5-D112,0)</x:f>
        <x:v>154</x:v>
      </x:c>
    </x:row>
    <x:row r="113">
      <x:c r="A113" t="n">
        <x:f>101</x:f>
        <x:v>101</x:v>
      </x:c>
      <x:c r="B113" t="n">
        <x:f>RAND()</x:f>
        <x:v>0.9285458189961381</x:v>
      </x:c>
      <x:c r="C113" t="n">
        <x:f>MIN(47,INT(B113*47)+1)</x:f>
        <x:v>44</x:v>
      </x:c>
      <x:c r="D113" t="n">
        <x:f>INDEX(Datos_47_semanas!$B$4:$B$50,C113)</x:f>
        <x:v>223</x:v>
      </x:c>
      <x:c r="E113" t="n">
        <x:f>MIN($B$4,D113)*$B$7+MAX($B$4-D113,0)*$B$9-$B$4*$B$8</x:f>
        <x:v>163.55</x:v>
      </x:c>
      <x:c r="F113" t="n">
        <x:f>MIN($B$5,D113)*$B$7+MAX($B$5-D113,0)*$B$9-$B$5*$B$8</x:f>
        <x:v>136.05</x:v>
      </x:c>
      <x:c r="G113" t="n">
        <x:f>MIN($B$6,D113)*$B$7+MAX($B$6-D113,0)*$B$9-$B$6*$B$8</x:f>
        <x:v>81.05000000000001</x:v>
      </x:c>
      <x:c r="H113" t="n">
        <x:f>MAX(D113-$B$5,0)</x:f>
        <x:v>0</x:v>
      </x:c>
      <x:c r="I113" t="n">
        <x:f>MAX($B$5-D113,0)</x:f>
        <x:v>77</x:v>
      </x:c>
    </x:row>
    <x:row r="114">
      <x:c r="A114" t="n">
        <x:f>102</x:f>
        <x:v>102</x:v>
      </x:c>
      <x:c r="B114" t="n">
        <x:f>RAND()</x:f>
        <x:v>0.9653132748768259</x:v>
      </x:c>
      <x:c r="C114" t="n">
        <x:f>MIN(47,INT(B114*47)+1)</x:f>
        <x:v>46</x:v>
      </x:c>
      <x:c r="D114" t="n">
        <x:f>INDEX(Datos_47_semanas!$B$4:$B$50,C114)</x:f>
        <x:v>449</x:v>
      </x:c>
      <x:c r="E114" t="n">
        <x:f>MIN($B$4,D114)*$B$7+MAX($B$4-D114,0)*$B$9-$B$4*$B$8</x:f>
        <x:v>200</x:v>
      </x:c>
      <x:c r="F114" t="n">
        <x:f>MIN($B$5,D114)*$B$7+MAX($B$5-D114,0)*$B$9-$B$5*$B$8</x:f>
        <x:v>240</x:v>
      </x:c>
      <x:c r="G114" t="n">
        <x:f>MIN($B$6,D114)*$B$7+MAX($B$6-D114,0)*$B$9-$B$6*$B$8</x:f>
        <x:v>320</x:v>
      </x:c>
      <x:c r="H114" t="n">
        <x:f>MAX(D114-$B$5,0)</x:f>
        <x:v>149</x:v>
      </x:c>
      <x:c r="I114" t="n">
        <x:f>MAX($B$5-D114,0)</x:f>
        <x:v>0</x:v>
      </x:c>
    </x:row>
    <x:row r="115">
      <x:c r="A115" t="n">
        <x:f>103</x:f>
        <x:v>103</x:v>
      </x:c>
      <x:c r="B115" t="n">
        <x:f>RAND()</x:f>
        <x:v>0.8436289667430147</x:v>
      </x:c>
      <x:c r="C115" t="n">
        <x:f>MIN(47,INT(B115*47)+1)</x:f>
        <x:v>40</x:v>
      </x:c>
      <x:c r="D115" t="n">
        <x:f>INDEX(Datos_47_semanas!$B$4:$B$50,C115)</x:f>
        <x:v>278</x:v>
      </x:c>
      <x:c r="E115" t="n">
        <x:f>MIN($B$4,D115)*$B$7+MAX($B$4-D115,0)*$B$9-$B$4*$B$8</x:f>
        <x:v>200</x:v>
      </x:c>
      <x:c r="F115" t="n">
        <x:f>MIN($B$5,D115)*$B$7+MAX($B$5-D115,0)*$B$9-$B$5*$B$8</x:f>
        <x:v>210.3</x:v>
      </x:c>
      <x:c r="G115" t="n">
        <x:f>MIN($B$6,D115)*$B$7+MAX($B$6-D115,0)*$B$9-$B$6*$B$8</x:f>
        <x:v>155.3</x:v>
      </x:c>
      <x:c r="H115" t="n">
        <x:f>MAX(D115-$B$5,0)</x:f>
        <x:v>0</x:v>
      </x:c>
      <x:c r="I115" t="n">
        <x:f>MAX($B$5-D115,0)</x:f>
        <x:v>22</x:v>
      </x:c>
    </x:row>
    <x:row r="116">
      <x:c r="A116" t="n">
        <x:f>104</x:f>
        <x:v>104</x:v>
      </x:c>
      <x:c r="B116" t="n">
        <x:f>RAND()</x:f>
        <x:v>0.8481073282063045</x:v>
      </x:c>
      <x:c r="C116" t="n">
        <x:f>MIN(47,INT(B116*47)+1)</x:f>
        <x:v>40</x:v>
      </x:c>
      <x:c r="D116" t="n">
        <x:f>INDEX(Datos_47_semanas!$B$4:$B$50,C116)</x:f>
        <x:v>278</x:v>
      </x:c>
      <x:c r="E116" t="n">
        <x:f>MIN($B$4,D116)*$B$7+MAX($B$4-D116,0)*$B$9-$B$4*$B$8</x:f>
        <x:v>200</x:v>
      </x:c>
      <x:c r="F116" t="n">
        <x:f>MIN($B$5,D116)*$B$7+MAX($B$5-D116,0)*$B$9-$B$5*$B$8</x:f>
        <x:v>210.3</x:v>
      </x:c>
      <x:c r="G116" t="n">
        <x:f>MIN($B$6,D116)*$B$7+MAX($B$6-D116,0)*$B$9-$B$6*$B$8</x:f>
        <x:v>155.3</x:v>
      </x:c>
      <x:c r="H116" t="n">
        <x:f>MAX(D116-$B$5,0)</x:f>
        <x:v>0</x:v>
      </x:c>
      <x:c r="I116" t="n">
        <x:f>MAX($B$5-D116,0)</x:f>
        <x:v>22</x:v>
      </x:c>
    </x:row>
    <x:row r="117">
      <x:c r="A117" t="n">
        <x:f>105</x:f>
        <x:v>105</x:v>
      </x:c>
      <x:c r="B117" t="n">
        <x:f>RAND()</x:f>
        <x:v>0.23867849404665709</x:v>
      </x:c>
      <x:c r="C117" t="n">
        <x:f>MIN(47,INT(B117*47)+1)</x:f>
        <x:v>12</x:v>
      </x:c>
      <x:c r="D117" t="n">
        <x:f>INDEX(Datos_47_semanas!$B$4:$B$50,C117)</x:f>
        <x:v>336</x:v>
      </x:c>
      <x:c r="E117" t="n">
        <x:f>MIN($B$4,D117)*$B$7+MAX($B$4-D117,0)*$B$9-$B$4*$B$8</x:f>
        <x:v>200</x:v>
      </x:c>
      <x:c r="F117" t="n">
        <x:f>MIN($B$5,D117)*$B$7+MAX($B$5-D117,0)*$B$9-$B$5*$B$8</x:f>
        <x:v>240</x:v>
      </x:c>
      <x:c r="G117" t="n">
        <x:f>MIN($B$6,D117)*$B$7+MAX($B$6-D117,0)*$B$9-$B$6*$B$8</x:f>
        <x:v>233.60000000000002</x:v>
      </x:c>
      <x:c r="H117" t="n">
        <x:f>MAX(D117-$B$5,0)</x:f>
        <x:v>36</x:v>
      </x:c>
      <x:c r="I117" t="n">
        <x:f>MAX($B$5-D117,0)</x:f>
        <x:v>0</x:v>
      </x:c>
    </x:row>
    <x:row r="118">
      <x:c r="A118" t="n">
        <x:f>106</x:f>
        <x:v>106</x:v>
      </x:c>
      <x:c r="B118" t="n">
        <x:f>RAND()</x:f>
        <x:v>0.4416183314064971</x:v>
      </x:c>
      <x:c r="C118" t="n">
        <x:f>MIN(47,INT(B118*47)+1)</x:f>
        <x:v>21</x:v>
      </x:c>
      <x:c r="D118" t="n">
        <x:f>INDEX(Datos_47_semanas!$B$4:$B$50,C118)</x:f>
        <x:v>424</x:v>
      </x:c>
      <x:c r="E118" t="n">
        <x:f>MIN($B$4,D118)*$B$7+MAX($B$4-D118,0)*$B$9-$B$4*$B$8</x:f>
        <x:v>200</x:v>
      </x:c>
      <x:c r="F118" t="n">
        <x:f>MIN($B$5,D118)*$B$7+MAX($B$5-D118,0)*$B$9-$B$5*$B$8</x:f>
        <x:v>240</x:v>
      </x:c>
      <x:c r="G118" t="n">
        <x:f>MIN($B$6,D118)*$B$7+MAX($B$6-D118,0)*$B$9-$B$6*$B$8</x:f>
        <x:v>320</x:v>
      </x:c>
      <x:c r="H118" t="n">
        <x:f>MAX(D118-$B$5,0)</x:f>
        <x:v>124</x:v>
      </x:c>
      <x:c r="I118" t="n">
        <x:f>MAX($B$5-D118,0)</x:f>
        <x:v>0</x:v>
      </x:c>
    </x:row>
    <x:row r="119">
      <x:c r="A119" t="n">
        <x:f>107</x:f>
        <x:v>107</x:v>
      </x:c>
      <x:c r="B119" t="n">
        <x:f>RAND()</x:f>
        <x:v>0.5040808380109972</x:v>
      </x:c>
      <x:c r="C119" t="n">
        <x:f>MIN(47,INT(B119*47)+1)</x:f>
        <x:v>24</x:v>
      </x:c>
      <x:c r="D119" t="n">
        <x:f>INDEX(Datos_47_semanas!$B$4:$B$50,C119)</x:f>
        <x:v>186</x:v>
      </x:c>
      <x:c r="E119" t="n">
        <x:f>MIN($B$4,D119)*$B$7+MAX($B$4-D119,0)*$B$9-$B$4*$B$8</x:f>
        <x:v>113.59999999999997</x:v>
      </x:c>
      <x:c r="F119" t="n">
        <x:f>MIN($B$5,D119)*$B$7+MAX($B$5-D119,0)*$B$9-$B$5*$B$8</x:f>
        <x:v>86.09999999999997</x:v>
      </x:c>
      <x:c r="G119" t="n">
        <x:f>MIN($B$6,D119)*$B$7+MAX($B$6-D119,0)*$B$9-$B$6*$B$8</x:f>
        <x:v>31.099999999999966</x:v>
      </x:c>
      <x:c r="H119" t="n">
        <x:f>MAX(D119-$B$5,0)</x:f>
        <x:v>0</x:v>
      </x:c>
      <x:c r="I119" t="n">
        <x:f>MAX($B$5-D119,0)</x:f>
        <x:v>114</x:v>
      </x:c>
    </x:row>
    <x:row r="120">
      <x:c r="A120" t="n">
        <x:f>108</x:f>
        <x:v>108</x:v>
      </x:c>
      <x:c r="B120" t="n">
        <x:f>RAND()</x:f>
        <x:v>0.5509299853665395</x:v>
      </x:c>
      <x:c r="C120" t="n">
        <x:f>MIN(47,INT(B120*47)+1)</x:f>
        <x:v>26</x:v>
      </x:c>
      <x:c r="D120" t="n">
        <x:f>INDEX(Datos_47_semanas!$B$4:$B$50,C120)</x:f>
        <x:v>183</x:v>
      </x:c>
      <x:c r="E120" t="n">
        <x:f>MIN($B$4,D120)*$B$7+MAX($B$4-D120,0)*$B$9-$B$4*$B$8</x:f>
        <x:v>109.55000000000001</x:v>
      </x:c>
      <x:c r="F120" t="n">
        <x:f>MIN($B$5,D120)*$B$7+MAX($B$5-D120,0)*$B$9-$B$5*$B$8</x:f>
        <x:v>82.05000000000001</x:v>
      </x:c>
      <x:c r="G120" t="n">
        <x:f>MIN($B$6,D120)*$B$7+MAX($B$6-D120,0)*$B$9-$B$6*$B$8</x:f>
        <x:v>27.049999999999955</x:v>
      </x:c>
      <x:c r="H120" t="n">
        <x:f>MAX(D120-$B$5,0)</x:f>
        <x:v>0</x:v>
      </x:c>
      <x:c r="I120" t="n">
        <x:f>MAX($B$5-D120,0)</x:f>
        <x:v>117</x:v>
      </x:c>
    </x:row>
    <x:row r="121">
      <x:c r="A121" t="n">
        <x:f>109</x:f>
        <x:v>109</x:v>
      </x:c>
      <x:c r="B121" t="n">
        <x:f>RAND()</x:f>
        <x:v>0.05496060060849095</x:v>
      </x:c>
      <x:c r="C121" t="n">
        <x:f>MIN(47,INT(B121*47)+1)</x:f>
        <x:v>3</x:v>
      </x:c>
      <x:c r="D121" t="n">
        <x:f>INDEX(Datos_47_semanas!$B$4:$B$50,C121)</x:f>
        <x:v>128</x:v>
      </x:c>
      <x:c r="E121" t="n">
        <x:f>MIN($B$4,D121)*$B$7+MAX($B$4-D121,0)*$B$9-$B$4*$B$8</x:f>
        <x:v>35.29999999999998</x:v>
      </x:c>
      <x:c r="F121" t="n">
        <x:f>MIN($B$5,D121)*$B$7+MAX($B$5-D121,0)*$B$9-$B$5*$B$8</x:f>
        <x:v>7.800000000000011</x:v>
      </x:c>
      <x:c r="G121" t="n">
        <x:f>MIN($B$6,D121)*$B$7+MAX($B$6-D121,0)*$B$9-$B$6*$B$8</x:f>
        <x:v>-47.200000000000045</x:v>
      </x:c>
      <x:c r="H121" t="n">
        <x:f>MAX(D121-$B$5,0)</x:f>
        <x:v>0</x:v>
      </x:c>
      <x:c r="I121" t="n">
        <x:f>MAX($B$5-D121,0)</x:f>
        <x:v>172</x:v>
      </x:c>
    </x:row>
    <x:row r="122">
      <x:c r="A122" t="n">
        <x:f>110</x:f>
        <x:v>110</x:v>
      </x:c>
      <x:c r="B122" t="n">
        <x:f>RAND()</x:f>
        <x:v>0.36232399253869396</x:v>
      </x:c>
      <x:c r="C122" t="n">
        <x:f>MIN(47,INT(B122*47)+1)</x:f>
        <x:v>18</x:v>
      </x:c>
      <x:c r="D122" t="n">
        <x:f>INDEX(Datos_47_semanas!$B$4:$B$50,C122)</x:f>
        <x:v>219</x:v>
      </x:c>
      <x:c r="E122" t="n">
        <x:f>MIN($B$4,D122)*$B$7+MAX($B$4-D122,0)*$B$9-$B$4*$B$8</x:f>
        <x:v>158.14999999999998</x:v>
      </x:c>
      <x:c r="F122" t="n">
        <x:f>MIN($B$5,D122)*$B$7+MAX($B$5-D122,0)*$B$9-$B$5*$B$8</x:f>
        <x:v>130.64999999999998</x:v>
      </x:c>
      <x:c r="G122" t="n">
        <x:f>MIN($B$6,D122)*$B$7+MAX($B$6-D122,0)*$B$9-$B$6*$B$8</x:f>
        <x:v>75.64999999999998</x:v>
      </x:c>
      <x:c r="H122" t="n">
        <x:f>MAX(D122-$B$5,0)</x:f>
        <x:v>0</x:v>
      </x:c>
      <x:c r="I122" t="n">
        <x:f>MAX($B$5-D122,0)</x:f>
        <x:v>81</x:v>
      </x:c>
    </x:row>
    <x:row r="123">
      <x:c r="A123" t="n">
        <x:f>111</x:f>
        <x:v>111</x:v>
      </x:c>
      <x:c r="B123" t="n">
        <x:f>RAND()</x:f>
        <x:v>0.2493327672258807</x:v>
      </x:c>
      <x:c r="C123" t="n">
        <x:f>MIN(47,INT(B123*47)+1)</x:f>
        <x:v>12</x:v>
      </x:c>
      <x:c r="D123" t="n">
        <x:f>INDEX(Datos_47_semanas!$B$4:$B$50,C123)</x:f>
        <x:v>336</x:v>
      </x:c>
      <x:c r="E123" t="n">
        <x:f>MIN($B$4,D123)*$B$7+MAX($B$4-D123,0)*$B$9-$B$4*$B$8</x:f>
        <x:v>200</x:v>
      </x:c>
      <x:c r="F123" t="n">
        <x:f>MIN($B$5,D123)*$B$7+MAX($B$5-D123,0)*$B$9-$B$5*$B$8</x:f>
        <x:v>240</x:v>
      </x:c>
      <x:c r="G123" t="n">
        <x:f>MIN($B$6,D123)*$B$7+MAX($B$6-D123,0)*$B$9-$B$6*$B$8</x:f>
        <x:v>233.60000000000002</x:v>
      </x:c>
      <x:c r="H123" t="n">
        <x:f>MAX(D123-$B$5,0)</x:f>
        <x:v>36</x:v>
      </x:c>
      <x:c r="I123" t="n">
        <x:f>MAX($B$5-D123,0)</x:f>
        <x:v>0</x:v>
      </x:c>
    </x:row>
    <x:row r="124">
      <x:c r="A124" t="n">
        <x:f>112</x:f>
        <x:v>112</x:v>
      </x:c>
      <x:c r="B124" t="n">
        <x:f>RAND()</x:f>
        <x:v>0.4953267840376001</x:v>
      </x:c>
      <x:c r="C124" t="n">
        <x:f>MIN(47,INT(B124*47)+1)</x:f>
        <x:v>24</x:v>
      </x:c>
      <x:c r="D124" t="n">
        <x:f>INDEX(Datos_47_semanas!$B$4:$B$50,C124)</x:f>
        <x:v>186</x:v>
      </x:c>
      <x:c r="E124" t="n">
        <x:f>MIN($B$4,D124)*$B$7+MAX($B$4-D124,0)*$B$9-$B$4*$B$8</x:f>
        <x:v>113.59999999999997</x:v>
      </x:c>
      <x:c r="F124" t="n">
        <x:f>MIN($B$5,D124)*$B$7+MAX($B$5-D124,0)*$B$9-$B$5*$B$8</x:f>
        <x:v>86.09999999999997</x:v>
      </x:c>
      <x:c r="G124" t="n">
        <x:f>MIN($B$6,D124)*$B$7+MAX($B$6-D124,0)*$B$9-$B$6*$B$8</x:f>
        <x:v>31.099999999999966</x:v>
      </x:c>
      <x:c r="H124" t="n">
        <x:f>MAX(D124-$B$5,0)</x:f>
        <x:v>0</x:v>
      </x:c>
      <x:c r="I124" t="n">
        <x:f>MAX($B$5-D124,0)</x:f>
        <x:v>114</x:v>
      </x:c>
    </x:row>
    <x:row r="125">
      <x:c r="A125" t="n">
        <x:f>113</x:f>
        <x:v>113</x:v>
      </x:c>
      <x:c r="B125" t="n">
        <x:f>RAND()</x:f>
        <x:v>0.26248061242734</x:v>
      </x:c>
      <x:c r="C125" t="n">
        <x:f>MIN(47,INT(B125*47)+1)</x:f>
        <x:v>13</x:v>
      </x:c>
      <x:c r="D125" t="n">
        <x:f>INDEX(Datos_47_semanas!$B$4:$B$50,C125)</x:f>
        <x:v>517</x:v>
      </x:c>
      <x:c r="E125" t="n">
        <x:f>MIN($B$4,D125)*$B$7+MAX($B$4-D125,0)*$B$9-$B$4*$B$8</x:f>
        <x:v>200</x:v>
      </x:c>
      <x:c r="F125" t="n">
        <x:f>MIN($B$5,D125)*$B$7+MAX($B$5-D125,0)*$B$9-$B$5*$B$8</x:f>
        <x:v>240</x:v>
      </x:c>
      <x:c r="G125" t="n">
        <x:f>MIN($B$6,D125)*$B$7+MAX($B$6-D125,0)*$B$9-$B$6*$B$8</x:f>
        <x:v>320</x:v>
      </x:c>
      <x:c r="H125" t="n">
        <x:f>MAX(D125-$B$5,0)</x:f>
        <x:v>217</x:v>
      </x:c>
      <x:c r="I125" t="n">
        <x:f>MAX($B$5-D125,0)</x:f>
        <x:v>0</x:v>
      </x:c>
    </x:row>
    <x:row r="126">
      <x:c r="A126" t="n">
        <x:f>114</x:f>
        <x:v>114</x:v>
      </x:c>
      <x:c r="B126" t="n">
        <x:f>RAND()</x:f>
        <x:v>0.37481855819906573</x:v>
      </x:c>
      <x:c r="C126" t="n">
        <x:f>MIN(47,INT(B126*47)+1)</x:f>
        <x:v>18</x:v>
      </x:c>
      <x:c r="D126" t="n">
        <x:f>INDEX(Datos_47_semanas!$B$4:$B$50,C126)</x:f>
        <x:v>219</x:v>
      </x:c>
      <x:c r="E126" t="n">
        <x:f>MIN($B$4,D126)*$B$7+MAX($B$4-D126,0)*$B$9-$B$4*$B$8</x:f>
        <x:v>158.14999999999998</x:v>
      </x:c>
      <x:c r="F126" t="n">
        <x:f>MIN($B$5,D126)*$B$7+MAX($B$5-D126,0)*$B$9-$B$5*$B$8</x:f>
        <x:v>130.64999999999998</x:v>
      </x:c>
      <x:c r="G126" t="n">
        <x:f>MIN($B$6,D126)*$B$7+MAX($B$6-D126,0)*$B$9-$B$6*$B$8</x:f>
        <x:v>75.64999999999998</x:v>
      </x:c>
      <x:c r="H126" t="n">
        <x:f>MAX(D126-$B$5,0)</x:f>
        <x:v>0</x:v>
      </x:c>
      <x:c r="I126" t="n">
        <x:f>MAX($B$5-D126,0)</x:f>
        <x:v>81</x:v>
      </x:c>
    </x:row>
    <x:row r="127">
      <x:c r="A127" t="n">
        <x:f>115</x:f>
        <x:v>115</x:v>
      </x:c>
      <x:c r="B127" t="n">
        <x:f>RAND()</x:f>
        <x:v>0.15395106743819242</x:v>
      </x:c>
      <x:c r="C127" t="n">
        <x:f>MIN(47,INT(B127*47)+1)</x:f>
        <x:v>8</x:v>
      </x:c>
      <x:c r="D127" t="n">
        <x:f>INDEX(Datos_47_semanas!$B$4:$B$50,C127)</x:f>
        <x:v>259</x:v>
      </x:c>
      <x:c r="E127" t="n">
        <x:f>MIN($B$4,D127)*$B$7+MAX($B$4-D127,0)*$B$9-$B$4*$B$8</x:f>
        <x:v>200</x:v>
      </x:c>
      <x:c r="F127" t="n">
        <x:f>MIN($B$5,D127)*$B$7+MAX($B$5-D127,0)*$B$9-$B$5*$B$8</x:f>
        <x:v>184.64999999999998</x:v>
      </x:c>
      <x:c r="G127" t="n">
        <x:f>MIN($B$6,D127)*$B$7+MAX($B$6-D127,0)*$B$9-$B$6*$B$8</x:f>
        <x:v>129.64999999999998</x:v>
      </x:c>
      <x:c r="H127" t="n">
        <x:f>MAX(D127-$B$5,0)</x:f>
        <x:v>0</x:v>
      </x:c>
      <x:c r="I127" t="n">
        <x:f>MAX($B$5-D127,0)</x:f>
        <x:v>41</x:v>
      </x:c>
    </x:row>
    <x:row r="128">
      <x:c r="A128" t="n">
        <x:f>116</x:f>
        <x:v>116</x:v>
      </x:c>
      <x:c r="B128" t="n">
        <x:f>RAND()</x:f>
        <x:v>0.7635746083807988</x:v>
      </x:c>
      <x:c r="C128" t="n">
        <x:f>MIN(47,INT(B128*47)+1)</x:f>
        <x:v>36</x:v>
      </x:c>
      <x:c r="D128" t="n">
        <x:f>INDEX(Datos_47_semanas!$B$4:$B$50,C128)</x:f>
        <x:v>304</x:v>
      </x:c>
      <x:c r="E128" t="n">
        <x:f>MIN($B$4,D128)*$B$7+MAX($B$4-D128,0)*$B$9-$B$4*$B$8</x:f>
        <x:v>200</x:v>
      </x:c>
      <x:c r="F128" t="n">
        <x:f>MIN($B$5,D128)*$B$7+MAX($B$5-D128,0)*$B$9-$B$5*$B$8</x:f>
        <x:v>240</x:v>
      </x:c>
      <x:c r="G128" t="n">
        <x:f>MIN($B$6,D128)*$B$7+MAX($B$6-D128,0)*$B$9-$B$6*$B$8</x:f>
        <x:v>190.39999999999998</x:v>
      </x:c>
      <x:c r="H128" t="n">
        <x:f>MAX(D128-$B$5,0)</x:f>
        <x:v>4</x:v>
      </x:c>
      <x:c r="I128" t="n">
        <x:f>MAX($B$5-D128,0)</x:f>
        <x:v>0</x:v>
      </x:c>
    </x:row>
    <x:row r="129">
      <x:c r="A129" t="n">
        <x:f>117</x:f>
        <x:v>117</x:v>
      </x:c>
      <x:c r="B129" t="n">
        <x:f>RAND()</x:f>
        <x:v>0.9547580882832234</x:v>
      </x:c>
      <x:c r="C129" t="n">
        <x:f>MIN(47,INT(B129*47)+1)</x:f>
        <x:v>45</x:v>
      </x:c>
      <x:c r="D129" t="n">
        <x:f>INDEX(Datos_47_semanas!$B$4:$B$50,C129)</x:f>
        <x:v>526</x:v>
      </x:c>
      <x:c r="E129" t="n">
        <x:f>MIN($B$4,D129)*$B$7+MAX($B$4-D129,0)*$B$9-$B$4*$B$8</x:f>
        <x:v>200</x:v>
      </x:c>
      <x:c r="F129" t="n">
        <x:f>MIN($B$5,D129)*$B$7+MAX($B$5-D129,0)*$B$9-$B$5*$B$8</x:f>
        <x:v>240</x:v>
      </x:c>
      <x:c r="G129" t="n">
        <x:f>MIN($B$6,D129)*$B$7+MAX($B$6-D129,0)*$B$9-$B$6*$B$8</x:f>
        <x:v>320</x:v>
      </x:c>
      <x:c r="H129" t="n">
        <x:f>MAX(D129-$B$5,0)</x:f>
        <x:v>226</x:v>
      </x:c>
      <x:c r="I129" t="n">
        <x:f>MAX($B$5-D129,0)</x:f>
        <x:v>0</x:v>
      </x:c>
    </x:row>
    <x:row r="130">
      <x:c r="A130" t="n">
        <x:f>118</x:f>
        <x:v>118</x:v>
      </x:c>
      <x:c r="B130" t="n">
        <x:f>RAND()</x:f>
        <x:v>0.2501167576799638</x:v>
      </x:c>
      <x:c r="C130" t="n">
        <x:f>MIN(47,INT(B130*47)+1)</x:f>
        <x:v>12</x:v>
      </x:c>
      <x:c r="D130" t="n">
        <x:f>INDEX(Datos_47_semanas!$B$4:$B$50,C130)</x:f>
        <x:v>336</x:v>
      </x:c>
      <x:c r="E130" t="n">
        <x:f>MIN($B$4,D130)*$B$7+MAX($B$4-D130,0)*$B$9-$B$4*$B$8</x:f>
        <x:v>200</x:v>
      </x:c>
      <x:c r="F130" t="n">
        <x:f>MIN($B$5,D130)*$B$7+MAX($B$5-D130,0)*$B$9-$B$5*$B$8</x:f>
        <x:v>240</x:v>
      </x:c>
      <x:c r="G130" t="n">
        <x:f>MIN($B$6,D130)*$B$7+MAX($B$6-D130,0)*$B$9-$B$6*$B$8</x:f>
        <x:v>233.60000000000002</x:v>
      </x:c>
      <x:c r="H130" t="n">
        <x:f>MAX(D130-$B$5,0)</x:f>
        <x:v>36</x:v>
      </x:c>
      <x:c r="I130" t="n">
        <x:f>MAX($B$5-D130,0)</x:f>
        <x:v>0</x:v>
      </x:c>
    </x:row>
    <x:row r="131">
      <x:c r="A131" t="n">
        <x:f>119</x:f>
        <x:v>119</x:v>
      </x:c>
      <x:c r="B131" t="n">
        <x:f>RAND()</x:f>
        <x:v>0.459435715891801</x:v>
      </x:c>
      <x:c r="C131" t="n">
        <x:f>MIN(47,INT(B131*47)+1)</x:f>
        <x:v>22</x:v>
      </x:c>
      <x:c r="D131" t="n">
        <x:f>INDEX(Datos_47_semanas!$B$4:$B$50,C131)</x:f>
        <x:v>171</x:v>
      </x:c>
      <x:c r="E131" t="n">
        <x:f>MIN($B$4,D131)*$B$7+MAX($B$4-D131,0)*$B$9-$B$4*$B$8</x:f>
        <x:v>93.34999999999997</x:v>
      </x:c>
      <x:c r="F131" t="n">
        <x:f>MIN($B$5,D131)*$B$7+MAX($B$5-D131,0)*$B$9-$B$5*$B$8</x:f>
        <x:v>65.84999999999997</x:v>
      </x:c>
      <x:c r="G131" t="n">
        <x:f>MIN($B$6,D131)*$B$7+MAX($B$6-D131,0)*$B$9-$B$6*$B$8</x:f>
        <x:v>10.849999999999966</x:v>
      </x:c>
      <x:c r="H131" t="n">
        <x:f>MAX(D131-$B$5,0)</x:f>
        <x:v>0</x:v>
      </x:c>
      <x:c r="I131" t="n">
        <x:f>MAX($B$5-D131,0)</x:f>
        <x:v>129</x:v>
      </x:c>
    </x:row>
    <x:row r="132">
      <x:c r="A132" t="n">
        <x:f>120</x:f>
        <x:v>120</x:v>
      </x:c>
      <x:c r="B132" t="n">
        <x:f>RAND()</x:f>
        <x:v>0.6679030865129829</x:v>
      </x:c>
      <x:c r="C132" t="n">
        <x:f>MIN(47,INT(B132*47)+1)</x:f>
        <x:v>32</x:v>
      </x:c>
      <x:c r="D132" t="n">
        <x:f>INDEX(Datos_47_semanas!$B$4:$B$50,C132)</x:f>
        <x:v>575</x:v>
      </x:c>
      <x:c r="E132" t="n">
        <x:f>MIN($B$4,D132)*$B$7+MAX($B$4-D132,0)*$B$9-$B$4*$B$8</x:f>
        <x:v>200</x:v>
      </x:c>
      <x:c r="F132" t="n">
        <x:f>MIN($B$5,D132)*$B$7+MAX($B$5-D132,0)*$B$9-$B$5*$B$8</x:f>
        <x:v>240</x:v>
      </x:c>
      <x:c r="G132" t="n">
        <x:f>MIN($B$6,D132)*$B$7+MAX($B$6-D132,0)*$B$9-$B$6*$B$8</x:f>
        <x:v>320</x:v>
      </x:c>
      <x:c r="H132" t="n">
        <x:f>MAX(D132-$B$5,0)</x:f>
        <x:v>275</x:v>
      </x:c>
      <x:c r="I132" t="n">
        <x:f>MAX($B$5-D132,0)</x:f>
        <x:v>0</x:v>
      </x:c>
    </x:row>
    <x:row r="133">
      <x:c r="A133" t="n">
        <x:f>121</x:f>
        <x:v>121</x:v>
      </x:c>
      <x:c r="B133" t="n">
        <x:f>RAND()</x:f>
        <x:v>0.8003256332926864</x:v>
      </x:c>
      <x:c r="C133" t="n">
        <x:f>MIN(47,INT(B133*47)+1)</x:f>
        <x:v>38</x:v>
      </x:c>
      <x:c r="D133" t="n">
        <x:f>INDEX(Datos_47_semanas!$B$4:$B$50,C133)</x:f>
        <x:v>212</x:v>
      </x:c>
      <x:c r="E133" t="n">
        <x:f>MIN($B$4,D133)*$B$7+MAX($B$4-D133,0)*$B$9-$B$4*$B$8</x:f>
        <x:v>148.69999999999993</x:v>
      </x:c>
      <x:c r="F133" t="n">
        <x:f>MIN($B$5,D133)*$B$7+MAX($B$5-D133,0)*$B$9-$B$5*$B$8</x:f>
        <x:v>121.19999999999993</x:v>
      </x:c>
      <x:c r="G133" t="n">
        <x:f>MIN($B$6,D133)*$B$7+MAX($B$6-D133,0)*$B$9-$B$6*$B$8</x:f>
        <x:v>66.19999999999993</x:v>
      </x:c>
      <x:c r="H133" t="n">
        <x:f>MAX(D133-$B$5,0)</x:f>
        <x:v>0</x:v>
      </x:c>
      <x:c r="I133" t="n">
        <x:f>MAX($B$5-D133,0)</x:f>
        <x:v>88</x:v>
      </x:c>
    </x:row>
    <x:row r="134">
      <x:c r="A134" t="n">
        <x:f>122</x:f>
        <x:v>122</x:v>
      </x:c>
      <x:c r="B134" t="n">
        <x:f>RAND()</x:f>
        <x:v>0.8311975201151109</x:v>
      </x:c>
      <x:c r="C134" t="n">
        <x:f>MIN(47,INT(B134*47)+1)</x:f>
        <x:v>40</x:v>
      </x:c>
      <x:c r="D134" t="n">
        <x:f>INDEX(Datos_47_semanas!$B$4:$B$50,C134)</x:f>
        <x:v>278</x:v>
      </x:c>
      <x:c r="E134" t="n">
        <x:f>MIN($B$4,D134)*$B$7+MAX($B$4-D134,0)*$B$9-$B$4*$B$8</x:f>
        <x:v>200</x:v>
      </x:c>
      <x:c r="F134" t="n">
        <x:f>MIN($B$5,D134)*$B$7+MAX($B$5-D134,0)*$B$9-$B$5*$B$8</x:f>
        <x:v>210.3</x:v>
      </x:c>
      <x:c r="G134" t="n">
        <x:f>MIN($B$6,D134)*$B$7+MAX($B$6-D134,0)*$B$9-$B$6*$B$8</x:f>
        <x:v>155.3</x:v>
      </x:c>
      <x:c r="H134" t="n">
        <x:f>MAX(D134-$B$5,0)</x:f>
        <x:v>0</x:v>
      </x:c>
      <x:c r="I134" t="n">
        <x:f>MAX($B$5-D134,0)</x:f>
        <x:v>22</x:v>
      </x:c>
    </x:row>
    <x:row r="135">
      <x:c r="A135" t="n">
        <x:f>123</x:f>
        <x:v>123</x:v>
      </x:c>
      <x:c r="B135" t="n">
        <x:f>RAND()</x:f>
        <x:v>0.09511019901446915</x:v>
      </x:c>
      <x:c r="C135" t="n">
        <x:f>MIN(47,INT(B135*47)+1)</x:f>
        <x:v>5</x:v>
      </x:c>
      <x:c r="D135" t="n">
        <x:f>INDEX(Datos_47_semanas!$B$4:$B$50,C135)</x:f>
        <x:v>347</x:v>
      </x:c>
      <x:c r="E135" t="n">
        <x:f>MIN($B$4,D135)*$B$7+MAX($B$4-D135,0)*$B$9-$B$4*$B$8</x:f>
        <x:v>200</x:v>
      </x:c>
      <x:c r="F135" t="n">
        <x:f>MIN($B$5,D135)*$B$7+MAX($B$5-D135,0)*$B$9-$B$5*$B$8</x:f>
        <x:v>240</x:v>
      </x:c>
      <x:c r="G135" t="n">
        <x:f>MIN($B$6,D135)*$B$7+MAX($B$6-D135,0)*$B$9-$B$6*$B$8</x:f>
        <x:v>248.44999999999993</x:v>
      </x:c>
      <x:c r="H135" t="n">
        <x:f>MAX(D135-$B$5,0)</x:f>
        <x:v>47</x:v>
      </x:c>
      <x:c r="I135" t="n">
        <x:f>MAX($B$5-D135,0)</x:f>
        <x:v>0</x:v>
      </x:c>
    </x:row>
    <x:row r="136">
      <x:c r="A136" t="n">
        <x:f>124</x:f>
        <x:v>124</x:v>
      </x:c>
      <x:c r="B136" t="n">
        <x:f>RAND()</x:f>
        <x:v>0.6000143415464938</x:v>
      </x:c>
      <x:c r="C136" t="n">
        <x:f>MIN(47,INT(B136*47)+1)</x:f>
        <x:v>29</x:v>
      </x:c>
      <x:c r="D136" t="n">
        <x:f>INDEX(Datos_47_semanas!$B$4:$B$50,C136)</x:f>
        <x:v>415</x:v>
      </x:c>
      <x:c r="E136" t="n">
        <x:f>MIN($B$4,D136)*$B$7+MAX($B$4-D136,0)*$B$9-$B$4*$B$8</x:f>
        <x:v>200</x:v>
      </x:c>
      <x:c r="F136" t="n">
        <x:f>MIN($B$5,D136)*$B$7+MAX($B$5-D136,0)*$B$9-$B$5*$B$8</x:f>
        <x:v>240</x:v>
      </x:c>
      <x:c r="G136" t="n">
        <x:f>MIN($B$6,D136)*$B$7+MAX($B$6-D136,0)*$B$9-$B$6*$B$8</x:f>
        <x:v>320</x:v>
      </x:c>
      <x:c r="H136" t="n">
        <x:f>MAX(D136-$B$5,0)</x:f>
        <x:v>115</x:v>
      </x:c>
      <x:c r="I136" t="n">
        <x:f>MAX($B$5-D136,0)</x:f>
        <x:v>0</x:v>
      </x:c>
    </x:row>
    <x:row r="137">
      <x:c r="A137" t="n">
        <x:f>125</x:f>
        <x:v>125</x:v>
      </x:c>
      <x:c r="B137" t="n">
        <x:f>RAND()</x:f>
        <x:v>0.8324019543226053</x:v>
      </x:c>
      <x:c r="C137" t="n">
        <x:f>MIN(47,INT(B137*47)+1)</x:f>
        <x:v>40</x:v>
      </x:c>
      <x:c r="D137" t="n">
        <x:f>INDEX(Datos_47_semanas!$B$4:$B$50,C137)</x:f>
        <x:v>278</x:v>
      </x:c>
      <x:c r="E137" t="n">
        <x:f>MIN($B$4,D137)*$B$7+MAX($B$4-D137,0)*$B$9-$B$4*$B$8</x:f>
        <x:v>200</x:v>
      </x:c>
      <x:c r="F137" t="n">
        <x:f>MIN($B$5,D137)*$B$7+MAX($B$5-D137,0)*$B$9-$B$5*$B$8</x:f>
        <x:v>210.3</x:v>
      </x:c>
      <x:c r="G137" t="n">
        <x:f>MIN($B$6,D137)*$B$7+MAX($B$6-D137,0)*$B$9-$B$6*$B$8</x:f>
        <x:v>155.3</x:v>
      </x:c>
      <x:c r="H137" t="n">
        <x:f>MAX(D137-$B$5,0)</x:f>
        <x:v>0</x:v>
      </x:c>
      <x:c r="I137" t="n">
        <x:f>MAX($B$5-D137,0)</x:f>
        <x:v>22</x:v>
      </x:c>
    </x:row>
    <x:row r="138">
      <x:c r="A138" t="n">
        <x:f>126</x:f>
        <x:v>126</x:v>
      </x:c>
      <x:c r="B138" t="n">
        <x:f>RAND()</x:f>
        <x:v>0.009857736560700214</x:v>
      </x:c>
      <x:c r="C138" t="n">
        <x:f>MIN(47,INT(B138*47)+1)</x:f>
        <x:v>1</x:v>
      </x:c>
      <x:c r="D138" t="n">
        <x:f>INDEX(Datos_47_semanas!$B$4:$B$50,C138)</x:f>
        <x:v>418</x:v>
      </x:c>
      <x:c r="E138" t="n">
        <x:f>MIN($B$4,D138)*$B$7+MAX($B$4-D138,0)*$B$9-$B$4*$B$8</x:f>
        <x:v>200</x:v>
      </x:c>
      <x:c r="F138" t="n">
        <x:f>MIN($B$5,D138)*$B$7+MAX($B$5-D138,0)*$B$9-$B$5*$B$8</x:f>
        <x:v>240</x:v>
      </x:c>
      <x:c r="G138" t="n">
        <x:f>MIN($B$6,D138)*$B$7+MAX($B$6-D138,0)*$B$9-$B$6*$B$8</x:f>
        <x:v>320</x:v>
      </x:c>
      <x:c r="H138" t="n">
        <x:f>MAX(D138-$B$5,0)</x:f>
        <x:v>118</x:v>
      </x:c>
      <x:c r="I138" t="n">
        <x:f>MAX($B$5-D138,0)</x:f>
        <x:v>0</x:v>
      </x:c>
    </x:row>
    <x:row r="139">
      <x:c r="A139" t="n">
        <x:f>127</x:f>
        <x:v>127</x:v>
      </x:c>
      <x:c r="B139" t="n">
        <x:f>RAND()</x:f>
        <x:v>0.5035853787708788</x:v>
      </x:c>
      <x:c r="C139" t="n">
        <x:f>MIN(47,INT(B139*47)+1)</x:f>
        <x:v>24</x:v>
      </x:c>
      <x:c r="D139" t="n">
        <x:f>INDEX(Datos_47_semanas!$B$4:$B$50,C139)</x:f>
        <x:v>186</x:v>
      </x:c>
      <x:c r="E139" t="n">
        <x:f>MIN($B$4,D139)*$B$7+MAX($B$4-D139,0)*$B$9-$B$4*$B$8</x:f>
        <x:v>113.59999999999997</x:v>
      </x:c>
      <x:c r="F139" t="n">
        <x:f>MIN($B$5,D139)*$B$7+MAX($B$5-D139,0)*$B$9-$B$5*$B$8</x:f>
        <x:v>86.09999999999997</x:v>
      </x:c>
      <x:c r="G139" t="n">
        <x:f>MIN($B$6,D139)*$B$7+MAX($B$6-D139,0)*$B$9-$B$6*$B$8</x:f>
        <x:v>31.099999999999966</x:v>
      </x:c>
      <x:c r="H139" t="n">
        <x:f>MAX(D139-$B$5,0)</x:f>
        <x:v>0</x:v>
      </x:c>
      <x:c r="I139" t="n">
        <x:f>MAX($B$5-D139,0)</x:f>
        <x:v>114</x:v>
      </x:c>
    </x:row>
    <x:row r="140">
      <x:c r="A140" t="n">
        <x:f>128</x:f>
        <x:v>128</x:v>
      </x:c>
      <x:c r="B140" t="n">
        <x:f>RAND()</x:f>
        <x:v>0.7973747662782921</x:v>
      </x:c>
      <x:c r="C140" t="n">
        <x:f>MIN(47,INT(B140*47)+1)</x:f>
        <x:v>38</x:v>
      </x:c>
      <x:c r="D140" t="n">
        <x:f>INDEX(Datos_47_semanas!$B$4:$B$50,C140)</x:f>
        <x:v>212</x:v>
      </x:c>
      <x:c r="E140" t="n">
        <x:f>MIN($B$4,D140)*$B$7+MAX($B$4-D140,0)*$B$9-$B$4*$B$8</x:f>
        <x:v>148.69999999999993</x:v>
      </x:c>
      <x:c r="F140" t="n">
        <x:f>MIN($B$5,D140)*$B$7+MAX($B$5-D140,0)*$B$9-$B$5*$B$8</x:f>
        <x:v>121.19999999999993</x:v>
      </x:c>
      <x:c r="G140" t="n">
        <x:f>MIN($B$6,D140)*$B$7+MAX($B$6-D140,0)*$B$9-$B$6*$B$8</x:f>
        <x:v>66.19999999999993</x:v>
      </x:c>
      <x:c r="H140" t="n">
        <x:f>MAX(D140-$B$5,0)</x:f>
        <x:v>0</x:v>
      </x:c>
      <x:c r="I140" t="n">
        <x:f>MAX($B$5-D140,0)</x:f>
        <x:v>88</x:v>
      </x:c>
    </x:row>
    <x:row r="141">
      <x:c r="A141" t="n">
        <x:f>129</x:f>
        <x:v>129</x:v>
      </x:c>
      <x:c r="B141" t="n">
        <x:f>RAND()</x:f>
        <x:v>0.32338783421537076</x:v>
      </x:c>
      <x:c r="C141" t="n">
        <x:f>MIN(47,INT(B141*47)+1)</x:f>
        <x:v>16</x:v>
      </x:c>
      <x:c r="D141" t="n">
        <x:f>INDEX(Datos_47_semanas!$B$4:$B$50,C141)</x:f>
        <x:v>318</x:v>
      </x:c>
      <x:c r="E141" t="n">
        <x:f>MIN($B$4,D141)*$B$7+MAX($B$4-D141,0)*$B$9-$B$4*$B$8</x:f>
        <x:v>200</x:v>
      </x:c>
      <x:c r="F141" t="n">
        <x:f>MIN($B$5,D141)*$B$7+MAX($B$5-D141,0)*$B$9-$B$5*$B$8</x:f>
        <x:v>240</x:v>
      </x:c>
      <x:c r="G141" t="n">
        <x:f>MIN($B$6,D141)*$B$7+MAX($B$6-D141,0)*$B$9-$B$6*$B$8</x:f>
        <x:v>209.29999999999995</x:v>
      </x:c>
      <x:c r="H141" t="n">
        <x:f>MAX(D141-$B$5,0)</x:f>
        <x:v>18</x:v>
      </x:c>
      <x:c r="I141" t="n">
        <x:f>MAX($B$5-D141,0)</x:f>
        <x:v>0</x:v>
      </x:c>
    </x:row>
    <x:row r="142">
      <x:c r="A142" t="n">
        <x:f>130</x:f>
        <x:v>130</x:v>
      </x:c>
      <x:c r="B142" t="n">
        <x:f>RAND()</x:f>
        <x:v>0.02184251743472687</x:v>
      </x:c>
      <x:c r="C142" t="n">
        <x:f>MIN(47,INT(B142*47)+1)</x:f>
        <x:v>2</x:v>
      </x:c>
      <x:c r="D142" t="n">
        <x:f>INDEX(Datos_47_semanas!$B$4:$B$50,C142)</x:f>
        <x:v>282</x:v>
      </x:c>
      <x:c r="E142" t="n">
        <x:f>MIN($B$4,D142)*$B$7+MAX($B$4-D142,0)*$B$9-$B$4*$B$8</x:f>
        <x:v>200</x:v>
      </x:c>
      <x:c r="F142" t="n">
        <x:f>MIN($B$5,D142)*$B$7+MAX($B$5-D142,0)*$B$9-$B$5*$B$8</x:f>
        <x:v>215.69999999999993</x:v>
      </x:c>
      <x:c r="G142" t="n">
        <x:f>MIN($B$6,D142)*$B$7+MAX($B$6-D142,0)*$B$9-$B$6*$B$8</x:f>
        <x:v>160.69999999999993</x:v>
      </x:c>
      <x:c r="H142" t="n">
        <x:f>MAX(D142-$B$5,0)</x:f>
        <x:v>0</x:v>
      </x:c>
      <x:c r="I142" t="n">
        <x:f>MAX($B$5-D142,0)</x:f>
        <x:v>18</x:v>
      </x:c>
    </x:row>
    <x:row r="143">
      <x:c r="A143" t="n">
        <x:f>131</x:f>
        <x:v>131</x:v>
      </x:c>
      <x:c r="B143" t="n">
        <x:f>RAND()</x:f>
        <x:v>0.9241684609209088</x:v>
      </x:c>
      <x:c r="C143" t="n">
        <x:f>MIN(47,INT(B143*47)+1)</x:f>
        <x:v>44</x:v>
      </x:c>
      <x:c r="D143" t="n">
        <x:f>INDEX(Datos_47_semanas!$B$4:$B$50,C143)</x:f>
        <x:v>223</x:v>
      </x:c>
      <x:c r="E143" t="n">
        <x:f>MIN($B$4,D143)*$B$7+MAX($B$4-D143,0)*$B$9-$B$4*$B$8</x:f>
        <x:v>163.55</x:v>
      </x:c>
      <x:c r="F143" t="n">
        <x:f>MIN($B$5,D143)*$B$7+MAX($B$5-D143,0)*$B$9-$B$5*$B$8</x:f>
        <x:v>136.05</x:v>
      </x:c>
      <x:c r="G143" t="n">
        <x:f>MIN($B$6,D143)*$B$7+MAX($B$6-D143,0)*$B$9-$B$6*$B$8</x:f>
        <x:v>81.05000000000001</x:v>
      </x:c>
      <x:c r="H143" t="n">
        <x:f>MAX(D143-$B$5,0)</x:f>
        <x:v>0</x:v>
      </x:c>
      <x:c r="I143" t="n">
        <x:f>MAX($B$5-D143,0)</x:f>
        <x:v>77</x:v>
      </x:c>
    </x:row>
    <x:row r="144">
      <x:c r="A144" t="n">
        <x:f>132</x:f>
        <x:v>132</x:v>
      </x:c>
      <x:c r="B144" t="n">
        <x:f>RAND()</x:f>
        <x:v>0.09438397960578193</x:v>
      </x:c>
      <x:c r="C144" t="n">
        <x:f>MIN(47,INT(B144*47)+1)</x:f>
        <x:v>5</x:v>
      </x:c>
      <x:c r="D144" t="n">
        <x:f>INDEX(Datos_47_semanas!$B$4:$B$50,C144)</x:f>
        <x:v>347</x:v>
      </x:c>
      <x:c r="E144" t="n">
        <x:f>MIN($B$4,D144)*$B$7+MAX($B$4-D144,0)*$B$9-$B$4*$B$8</x:f>
        <x:v>200</x:v>
      </x:c>
      <x:c r="F144" t="n">
        <x:f>MIN($B$5,D144)*$B$7+MAX($B$5-D144,0)*$B$9-$B$5*$B$8</x:f>
        <x:v>240</x:v>
      </x:c>
      <x:c r="G144" t="n">
        <x:f>MIN($B$6,D144)*$B$7+MAX($B$6-D144,0)*$B$9-$B$6*$B$8</x:f>
        <x:v>248.44999999999993</x:v>
      </x:c>
      <x:c r="H144" t="n">
        <x:f>MAX(D144-$B$5,0)</x:f>
        <x:v>47</x:v>
      </x:c>
      <x:c r="I144" t="n">
        <x:f>MAX($B$5-D144,0)</x:f>
        <x:v>0</x:v>
      </x:c>
    </x:row>
    <x:row r="145">
      <x:c r="A145" t="n">
        <x:f>133</x:f>
        <x:v>133</x:v>
      </x:c>
      <x:c r="B145" t="n">
        <x:f>RAND()</x:f>
        <x:v>0.7386972856115939</x:v>
      </x:c>
      <x:c r="C145" t="n">
        <x:f>MIN(47,INT(B145*47)+1)</x:f>
        <x:v>35</x:v>
      </x:c>
      <x:c r="D145" t="n">
        <x:f>INDEX(Datos_47_semanas!$B$4:$B$50,C145)</x:f>
        <x:v>192</x:v>
      </x:c>
      <x:c r="E145" t="n">
        <x:f>MIN($B$4,D145)*$B$7+MAX($B$4-D145,0)*$B$9-$B$4*$B$8</x:f>
        <x:v>121.69999999999993</x:v>
      </x:c>
      <x:c r="F145" t="n">
        <x:f>MIN($B$5,D145)*$B$7+MAX($B$5-D145,0)*$B$9-$B$5*$B$8</x:f>
        <x:v>94.19999999999993</x:v>
      </x:c>
      <x:c r="G145" t="n">
        <x:f>MIN($B$6,D145)*$B$7+MAX($B$6-D145,0)*$B$9-$B$6*$B$8</x:f>
        <x:v>39.19999999999993</x:v>
      </x:c>
      <x:c r="H145" t="n">
        <x:f>MAX(D145-$B$5,0)</x:f>
        <x:v>0</x:v>
      </x:c>
      <x:c r="I145" t="n">
        <x:f>MAX($B$5-D145,0)</x:f>
        <x:v>108</x:v>
      </x:c>
    </x:row>
    <x:row r="146">
      <x:c r="A146" t="n">
        <x:f>134</x:f>
        <x:v>134</x:v>
      </x:c>
      <x:c r="B146" t="n">
        <x:f>RAND()</x:f>
        <x:v>0.6957003310720625</x:v>
      </x:c>
      <x:c r="C146" t="n">
        <x:f>MIN(47,INT(B146*47)+1)</x:f>
        <x:v>33</x:v>
      </x:c>
      <x:c r="D146" t="n">
        <x:f>INDEX(Datos_47_semanas!$B$4:$B$50,C146)</x:f>
        <x:v>373</x:v>
      </x:c>
      <x:c r="E146" t="n">
        <x:f>MIN($B$4,D146)*$B$7+MAX($B$4-D146,0)*$B$9-$B$4*$B$8</x:f>
        <x:v>200</x:v>
      </x:c>
      <x:c r="F146" t="n">
        <x:f>MIN($B$5,D146)*$B$7+MAX($B$5-D146,0)*$B$9-$B$5*$B$8</x:f>
        <x:v>240</x:v>
      </x:c>
      <x:c r="G146" t="n">
        <x:f>MIN($B$6,D146)*$B$7+MAX($B$6-D146,0)*$B$9-$B$6*$B$8</x:f>
        <x:v>283.54999999999995</x:v>
      </x:c>
      <x:c r="H146" t="n">
        <x:f>MAX(D146-$B$5,0)</x:f>
        <x:v>73</x:v>
      </x:c>
      <x:c r="I146" t="n">
        <x:f>MAX($B$5-D146,0)</x:f>
        <x:v>0</x:v>
      </x:c>
    </x:row>
    <x:row r="147">
      <x:c r="A147" t="n">
        <x:f>135</x:f>
        <x:v>135</x:v>
      </x:c>
      <x:c r="B147" t="n">
        <x:f>RAND()</x:f>
        <x:v>0.2847923536797017</x:v>
      </x:c>
      <x:c r="C147" t="n">
        <x:f>MIN(47,INT(B147*47)+1)</x:f>
        <x:v>14</x:v>
      </x:c>
      <x:c r="D147" t="n">
        <x:f>INDEX(Datos_47_semanas!$B$4:$B$50,C147)</x:f>
        <x:v>187</x:v>
      </x:c>
      <x:c r="E147" t="n">
        <x:f>MIN($B$4,D147)*$B$7+MAX($B$4-D147,0)*$B$9-$B$4*$B$8</x:f>
        <x:v>114.94999999999999</x:v>
      </x:c>
      <x:c r="F147" t="n">
        <x:f>MIN($B$5,D147)*$B$7+MAX($B$5-D147,0)*$B$9-$B$5*$B$8</x:f>
        <x:v>87.44999999999999</x:v>
      </x:c>
      <x:c r="G147" t="n">
        <x:f>MIN($B$6,D147)*$B$7+MAX($B$6-D147,0)*$B$9-$B$6*$B$8</x:f>
        <x:v>32.44999999999999</x:v>
      </x:c>
      <x:c r="H147" t="n">
        <x:f>MAX(D147-$B$5,0)</x:f>
        <x:v>0</x:v>
      </x:c>
      <x:c r="I147" t="n">
        <x:f>MAX($B$5-D147,0)</x:f>
        <x:v>113</x:v>
      </x:c>
    </x:row>
    <x:row r="148">
      <x:c r="A148" t="n">
        <x:f>136</x:f>
        <x:v>136</x:v>
      </x:c>
      <x:c r="B148" t="n">
        <x:f>RAND()</x:f>
        <x:v>0.260057767675943</x:v>
      </x:c>
      <x:c r="C148" t="n">
        <x:f>MIN(47,INT(B148*47)+1)</x:f>
        <x:v>13</x:v>
      </x:c>
      <x:c r="D148" t="n">
        <x:f>INDEX(Datos_47_semanas!$B$4:$B$50,C148)</x:f>
        <x:v>517</x:v>
      </x:c>
      <x:c r="E148" t="n">
        <x:f>MIN($B$4,D148)*$B$7+MAX($B$4-D148,0)*$B$9-$B$4*$B$8</x:f>
        <x:v>200</x:v>
      </x:c>
      <x:c r="F148" t="n">
        <x:f>MIN($B$5,D148)*$B$7+MAX($B$5-D148,0)*$B$9-$B$5*$B$8</x:f>
        <x:v>240</x:v>
      </x:c>
      <x:c r="G148" t="n">
        <x:f>MIN($B$6,D148)*$B$7+MAX($B$6-D148,0)*$B$9-$B$6*$B$8</x:f>
        <x:v>320</x:v>
      </x:c>
      <x:c r="H148" t="n">
        <x:f>MAX(D148-$B$5,0)</x:f>
        <x:v>217</x:v>
      </x:c>
      <x:c r="I148" t="n">
        <x:f>MAX($B$5-D148,0)</x:f>
        <x:v>0</x:v>
      </x:c>
    </x:row>
    <x:row r="149">
      <x:c r="A149" t="n">
        <x:f>137</x:f>
        <x:v>137</x:v>
      </x:c>
      <x:c r="B149" t="n">
        <x:f>RAND()</x:f>
        <x:v>0.37547922009078794</x:v>
      </x:c>
      <x:c r="C149" t="n">
        <x:f>MIN(47,INT(B149*47)+1)</x:f>
        <x:v>18</x:v>
      </x:c>
      <x:c r="D149" t="n">
        <x:f>INDEX(Datos_47_semanas!$B$4:$B$50,C149)</x:f>
        <x:v>219</x:v>
      </x:c>
      <x:c r="E149" t="n">
        <x:f>MIN($B$4,D149)*$B$7+MAX($B$4-D149,0)*$B$9-$B$4*$B$8</x:f>
        <x:v>158.14999999999998</x:v>
      </x:c>
      <x:c r="F149" t="n">
        <x:f>MIN($B$5,D149)*$B$7+MAX($B$5-D149,0)*$B$9-$B$5*$B$8</x:f>
        <x:v>130.64999999999998</x:v>
      </x:c>
      <x:c r="G149" t="n">
        <x:f>MIN($B$6,D149)*$B$7+MAX($B$6-D149,0)*$B$9-$B$6*$B$8</x:f>
        <x:v>75.64999999999998</x:v>
      </x:c>
      <x:c r="H149" t="n">
        <x:f>MAX(D149-$B$5,0)</x:f>
        <x:v>0</x:v>
      </x:c>
      <x:c r="I149" t="n">
        <x:f>MAX($B$5-D149,0)</x:f>
        <x:v>81</x:v>
      </x:c>
    </x:row>
    <x:row r="150">
      <x:c r="A150" t="n">
        <x:f>138</x:f>
        <x:v>138</x:v>
      </x:c>
      <x:c r="B150" t="n">
        <x:f>RAND()</x:f>
        <x:v>0.2301706140021551</x:v>
      </x:c>
      <x:c r="C150" t="n">
        <x:f>MIN(47,INT(B150*47)+1)</x:f>
        <x:v>11</x:v>
      </x:c>
      <x:c r="D150" t="n">
        <x:f>INDEX(Datos_47_semanas!$B$4:$B$50,C150)</x:f>
        <x:v>268</x:v>
      </x:c>
      <x:c r="E150" t="n">
        <x:f>MIN($B$4,D150)*$B$7+MAX($B$4-D150,0)*$B$9-$B$4*$B$8</x:f>
        <x:v>200</x:v>
      </x:c>
      <x:c r="F150" t="n">
        <x:f>MIN($B$5,D150)*$B$7+MAX($B$5-D150,0)*$B$9-$B$5*$B$8</x:f>
        <x:v>196.8</x:v>
      </x:c>
      <x:c r="G150" t="n">
        <x:f>MIN($B$6,D150)*$B$7+MAX($B$6-D150,0)*$B$9-$B$6*$B$8</x:f>
        <x:v>141.8</x:v>
      </x:c>
      <x:c r="H150" t="n">
        <x:f>MAX(D150-$B$5,0)</x:f>
        <x:v>0</x:v>
      </x:c>
      <x:c r="I150" t="n">
        <x:f>MAX($B$5-D150,0)</x:f>
        <x:v>32</x:v>
      </x:c>
    </x:row>
    <x:row r="151">
      <x:c r="A151" t="n">
        <x:f>139</x:f>
        <x:v>139</x:v>
      </x:c>
      <x:c r="B151" t="n">
        <x:f>RAND()</x:f>
        <x:v>0.5417058784396623</x:v>
      </x:c>
      <x:c r="C151" t="n">
        <x:f>MIN(47,INT(B151*47)+1)</x:f>
        <x:v>26</x:v>
      </x:c>
      <x:c r="D151" t="n">
        <x:f>INDEX(Datos_47_semanas!$B$4:$B$50,C151)</x:f>
        <x:v>183</x:v>
      </x:c>
      <x:c r="E151" t="n">
        <x:f>MIN($B$4,D151)*$B$7+MAX($B$4-D151,0)*$B$9-$B$4*$B$8</x:f>
        <x:v>109.55000000000001</x:v>
      </x:c>
      <x:c r="F151" t="n">
        <x:f>MIN($B$5,D151)*$B$7+MAX($B$5-D151,0)*$B$9-$B$5*$B$8</x:f>
        <x:v>82.05000000000001</x:v>
      </x:c>
      <x:c r="G151" t="n">
        <x:f>MIN($B$6,D151)*$B$7+MAX($B$6-D151,0)*$B$9-$B$6*$B$8</x:f>
        <x:v>27.049999999999955</x:v>
      </x:c>
      <x:c r="H151" t="n">
        <x:f>MAX(D151-$B$5,0)</x:f>
        <x:v>0</x:v>
      </x:c>
      <x:c r="I151" t="n">
        <x:f>MAX($B$5-D151,0)</x:f>
        <x:v>117</x:v>
      </x:c>
    </x:row>
    <x:row r="152">
      <x:c r="A152" t="n">
        <x:f>140</x:f>
        <x:v>140</x:v>
      </x:c>
      <x:c r="B152" t="n">
        <x:f>RAND()</x:f>
        <x:v>0.4336327035243902</x:v>
      </x:c>
      <x:c r="C152" t="n">
        <x:f>MIN(47,INT(B152*47)+1)</x:f>
        <x:v>21</x:v>
      </x:c>
      <x:c r="D152" t="n">
        <x:f>INDEX(Datos_47_semanas!$B$4:$B$50,C152)</x:f>
        <x:v>424</x:v>
      </x:c>
      <x:c r="E152" t="n">
        <x:f>MIN($B$4,D152)*$B$7+MAX($B$4-D152,0)*$B$9-$B$4*$B$8</x:f>
        <x:v>200</x:v>
      </x:c>
      <x:c r="F152" t="n">
        <x:f>MIN($B$5,D152)*$B$7+MAX($B$5-D152,0)*$B$9-$B$5*$B$8</x:f>
        <x:v>240</x:v>
      </x:c>
      <x:c r="G152" t="n">
        <x:f>MIN($B$6,D152)*$B$7+MAX($B$6-D152,0)*$B$9-$B$6*$B$8</x:f>
        <x:v>320</x:v>
      </x:c>
      <x:c r="H152" t="n">
        <x:f>MAX(D152-$B$5,0)</x:f>
        <x:v>124</x:v>
      </x:c>
      <x:c r="I152" t="n">
        <x:f>MAX($B$5-D152,0)</x:f>
        <x:v>0</x:v>
      </x:c>
    </x:row>
    <x:row r="153">
      <x:c r="A153" t="n">
        <x:f>141</x:f>
        <x:v>141</x:v>
      </x:c>
      <x:c r="B153" t="n">
        <x:f>RAND()</x:f>
        <x:v>0.6033467213903575</x:v>
      </x:c>
      <x:c r="C153" t="n">
        <x:f>MIN(47,INT(B153*47)+1)</x:f>
        <x:v>29</x:v>
      </x:c>
      <x:c r="D153" t="n">
        <x:f>INDEX(Datos_47_semanas!$B$4:$B$50,C153)</x:f>
        <x:v>415</x:v>
      </x:c>
      <x:c r="E153" t="n">
        <x:f>MIN($B$4,D153)*$B$7+MAX($B$4-D153,0)*$B$9-$B$4*$B$8</x:f>
        <x:v>200</x:v>
      </x:c>
      <x:c r="F153" t="n">
        <x:f>MIN($B$5,D153)*$B$7+MAX($B$5-D153,0)*$B$9-$B$5*$B$8</x:f>
        <x:v>240</x:v>
      </x:c>
      <x:c r="G153" t="n">
        <x:f>MIN($B$6,D153)*$B$7+MAX($B$6-D153,0)*$B$9-$B$6*$B$8</x:f>
        <x:v>320</x:v>
      </x:c>
      <x:c r="H153" t="n">
        <x:f>MAX(D153-$B$5,0)</x:f>
        <x:v>115</x:v>
      </x:c>
      <x:c r="I153" t="n">
        <x:f>MAX($B$5-D153,0)</x:f>
        <x:v>0</x:v>
      </x:c>
    </x:row>
    <x:row r="154">
      <x:c r="A154" t="n">
        <x:f>142</x:f>
        <x:v>142</x:v>
      </x:c>
      <x:c r="B154" t="n">
        <x:f>RAND()</x:f>
        <x:v>0.07992039040209953</x:v>
      </x:c>
      <x:c r="C154" t="n">
        <x:f>MIN(47,INT(B154*47)+1)</x:f>
        <x:v>4</x:v>
      </x:c>
      <x:c r="D154" t="n">
        <x:f>INDEX(Datos_47_semanas!$B$4:$B$50,C154)</x:f>
        <x:v>161</x:v>
      </x:c>
      <x:c r="E154" t="n">
        <x:f>MIN($B$4,D154)*$B$7+MAX($B$4-D154,0)*$B$9-$B$4*$B$8</x:f>
        <x:v>79.84999999999997</x:v>
      </x:c>
      <x:c r="F154" t="n">
        <x:f>MIN($B$5,D154)*$B$7+MAX($B$5-D154,0)*$B$9-$B$5*$B$8</x:f>
        <x:v>52.349999999999966</x:v>
      </x:c>
      <x:c r="G154" t="n">
        <x:f>MIN($B$6,D154)*$B$7+MAX($B$6-D154,0)*$B$9-$B$6*$B$8</x:f>
        <x:v>-2.650000000000034</x:v>
      </x:c>
      <x:c r="H154" t="n">
        <x:f>MAX(D154-$B$5,0)</x:f>
        <x:v>0</x:v>
      </x:c>
      <x:c r="I154" t="n">
        <x:f>MAX($B$5-D154,0)</x:f>
        <x:v>139</x:v>
      </x:c>
    </x:row>
    <x:row r="155">
      <x:c r="A155" t="n">
        <x:f>143</x:f>
        <x:v>143</x:v>
      </x:c>
      <x:c r="B155" t="n">
        <x:f>RAND()</x:f>
        <x:v>0.8335622733921165</x:v>
      </x:c>
      <x:c r="C155" t="n">
        <x:f>MIN(47,INT(B155*47)+1)</x:f>
        <x:v>40</x:v>
      </x:c>
      <x:c r="D155" t="n">
        <x:f>INDEX(Datos_47_semanas!$B$4:$B$50,C155)</x:f>
        <x:v>278</x:v>
      </x:c>
      <x:c r="E155" t="n">
        <x:f>MIN($B$4,D155)*$B$7+MAX($B$4-D155,0)*$B$9-$B$4*$B$8</x:f>
        <x:v>200</x:v>
      </x:c>
      <x:c r="F155" t="n">
        <x:f>MIN($B$5,D155)*$B$7+MAX($B$5-D155,0)*$B$9-$B$5*$B$8</x:f>
        <x:v>210.3</x:v>
      </x:c>
      <x:c r="G155" t="n">
        <x:f>MIN($B$6,D155)*$B$7+MAX($B$6-D155,0)*$B$9-$B$6*$B$8</x:f>
        <x:v>155.3</x:v>
      </x:c>
      <x:c r="H155" t="n">
        <x:f>MAX(D155-$B$5,0)</x:f>
        <x:v>0</x:v>
      </x:c>
      <x:c r="I155" t="n">
        <x:f>MAX($B$5-D155,0)</x:f>
        <x:v>22</x:v>
      </x:c>
    </x:row>
    <x:row r="156">
      <x:c r="A156" t="n">
        <x:f>144</x:f>
        <x:v>144</x:v>
      </x:c>
      <x:c r="B156" t="n">
        <x:f>RAND()</x:f>
        <x:v>0.3009272039064401</x:v>
      </x:c>
      <x:c r="C156" t="n">
        <x:f>MIN(47,INT(B156*47)+1)</x:f>
        <x:v>15</x:v>
      </x:c>
      <x:c r="D156" t="n">
        <x:f>INDEX(Datos_47_semanas!$B$4:$B$50,C156)</x:f>
        <x:v>275</x:v>
      </x:c>
      <x:c r="E156" t="n">
        <x:f>MIN($B$4,D156)*$B$7+MAX($B$4-D156,0)*$B$9-$B$4*$B$8</x:f>
        <x:v>200</x:v>
      </x:c>
      <x:c r="F156" t="n">
        <x:f>MIN($B$5,D156)*$B$7+MAX($B$5-D156,0)*$B$9-$B$5*$B$8</x:f>
        <x:v>206.25</x:v>
      </x:c>
      <x:c r="G156" t="n">
        <x:f>MIN($B$6,D156)*$B$7+MAX($B$6-D156,0)*$B$9-$B$6*$B$8</x:f>
        <x:v>151.25</x:v>
      </x:c>
      <x:c r="H156" t="n">
        <x:f>MAX(D156-$B$5,0)</x:f>
        <x:v>0</x:v>
      </x:c>
      <x:c r="I156" t="n">
        <x:f>MAX($B$5-D156,0)</x:f>
        <x:v>25</x:v>
      </x:c>
    </x:row>
    <x:row r="157">
      <x:c r="A157" t="n">
        <x:f>145</x:f>
        <x:v>145</x:v>
      </x:c>
      <x:c r="B157" t="n">
        <x:f>RAND()</x:f>
        <x:v>0.7506858128897933</x:v>
      </x:c>
      <x:c r="C157" t="n">
        <x:f>MIN(47,INT(B157*47)+1)</x:f>
        <x:v>36</x:v>
      </x:c>
      <x:c r="D157" t="n">
        <x:f>INDEX(Datos_47_semanas!$B$4:$B$50,C157)</x:f>
        <x:v>304</x:v>
      </x:c>
      <x:c r="E157" t="n">
        <x:f>MIN($B$4,D157)*$B$7+MAX($B$4-D157,0)*$B$9-$B$4*$B$8</x:f>
        <x:v>200</x:v>
      </x:c>
      <x:c r="F157" t="n">
        <x:f>MIN($B$5,D157)*$B$7+MAX($B$5-D157,0)*$B$9-$B$5*$B$8</x:f>
        <x:v>240</x:v>
      </x:c>
      <x:c r="G157" t="n">
        <x:f>MIN($B$6,D157)*$B$7+MAX($B$6-D157,0)*$B$9-$B$6*$B$8</x:f>
        <x:v>190.39999999999998</x:v>
      </x:c>
      <x:c r="H157" t="n">
        <x:f>MAX(D157-$B$5,0)</x:f>
        <x:v>4</x:v>
      </x:c>
      <x:c r="I157" t="n">
        <x:f>MAX($B$5-D157,0)</x:f>
        <x:v>0</x:v>
      </x:c>
    </x:row>
    <x:row r="158">
      <x:c r="A158" t="n">
        <x:f>146</x:f>
        <x:v>146</x:v>
      </x:c>
      <x:c r="B158" t="n">
        <x:f>RAND()</x:f>
        <x:v>0.29212232959847007</x:v>
      </x:c>
      <x:c r="C158" t="n">
        <x:f>MIN(47,INT(B158*47)+1)</x:f>
        <x:v>14</x:v>
      </x:c>
      <x:c r="D158" t="n">
        <x:f>INDEX(Datos_47_semanas!$B$4:$B$50,C158)</x:f>
        <x:v>187</x:v>
      </x:c>
      <x:c r="E158" t="n">
        <x:f>MIN($B$4,D158)*$B$7+MAX($B$4-D158,0)*$B$9-$B$4*$B$8</x:f>
        <x:v>114.94999999999999</x:v>
      </x:c>
      <x:c r="F158" t="n">
        <x:f>MIN($B$5,D158)*$B$7+MAX($B$5-D158,0)*$B$9-$B$5*$B$8</x:f>
        <x:v>87.44999999999999</x:v>
      </x:c>
      <x:c r="G158" t="n">
        <x:f>MIN($B$6,D158)*$B$7+MAX($B$6-D158,0)*$B$9-$B$6*$B$8</x:f>
        <x:v>32.44999999999999</x:v>
      </x:c>
      <x:c r="H158" t="n">
        <x:f>MAX(D158-$B$5,0)</x:f>
        <x:v>0</x:v>
      </x:c>
      <x:c r="I158" t="n">
        <x:f>MAX($B$5-D158,0)</x:f>
        <x:v>113</x:v>
      </x:c>
    </x:row>
    <x:row r="159">
      <x:c r="A159" t="n">
        <x:f>147</x:f>
        <x:v>147</x:v>
      </x:c>
      <x:c r="B159" t="n">
        <x:f>RAND()</x:f>
        <x:v>0.5834417406041892</x:v>
      </x:c>
      <x:c r="C159" t="n">
        <x:f>MIN(47,INT(B159*47)+1)</x:f>
        <x:v>28</x:v>
      </x:c>
      <x:c r="D159" t="n">
        <x:f>INDEX(Datos_47_semanas!$B$4:$B$50,C159)</x:f>
        <x:v>201</x:v>
      </x:c>
      <x:c r="E159" t="n">
        <x:f>MIN($B$4,D159)*$B$7+MAX($B$4-D159,0)*$B$9-$B$4*$B$8</x:f>
        <x:v>133.84999999999997</x:v>
      </x:c>
      <x:c r="F159" t="n">
        <x:f>MIN($B$5,D159)*$B$7+MAX($B$5-D159,0)*$B$9-$B$5*$B$8</x:f>
        <x:v>106.34999999999997</x:v>
      </x:c>
      <x:c r="G159" t="n">
        <x:f>MIN($B$6,D159)*$B$7+MAX($B$6-D159,0)*$B$9-$B$6*$B$8</x:f>
        <x:v>51.349999999999966</x:v>
      </x:c>
      <x:c r="H159" t="n">
        <x:f>MAX(D159-$B$5,0)</x:f>
        <x:v>0</x:v>
      </x:c>
      <x:c r="I159" t="n">
        <x:f>MAX($B$5-D159,0)</x:f>
        <x:v>99</x:v>
      </x:c>
    </x:row>
    <x:row r="160">
      <x:c r="A160" t="n">
        <x:f>148</x:f>
        <x:v>148</x:v>
      </x:c>
      <x:c r="B160" t="n">
        <x:f>RAND()</x:f>
        <x:v>0.0537920483683163</x:v>
      </x:c>
      <x:c r="C160" t="n">
        <x:f>MIN(47,INT(B160*47)+1)</x:f>
        <x:v>3</x:v>
      </x:c>
      <x:c r="D160" t="n">
        <x:f>INDEX(Datos_47_semanas!$B$4:$B$50,C160)</x:f>
        <x:v>128</x:v>
      </x:c>
      <x:c r="E160" t="n">
        <x:f>MIN($B$4,D160)*$B$7+MAX($B$4-D160,0)*$B$9-$B$4*$B$8</x:f>
        <x:v>35.29999999999998</x:v>
      </x:c>
      <x:c r="F160" t="n">
        <x:f>MIN($B$5,D160)*$B$7+MAX($B$5-D160,0)*$B$9-$B$5*$B$8</x:f>
        <x:v>7.800000000000011</x:v>
      </x:c>
      <x:c r="G160" t="n">
        <x:f>MIN($B$6,D160)*$B$7+MAX($B$6-D160,0)*$B$9-$B$6*$B$8</x:f>
        <x:v>-47.200000000000045</x:v>
      </x:c>
      <x:c r="H160" t="n">
        <x:f>MAX(D160-$B$5,0)</x:f>
        <x:v>0</x:v>
      </x:c>
      <x:c r="I160" t="n">
        <x:f>MAX($B$5-D160,0)</x:f>
        <x:v>172</x:v>
      </x:c>
    </x:row>
    <x:row r="161">
      <x:c r="A161" t="n">
        <x:f>149</x:f>
        <x:v>149</x:v>
      </x:c>
      <x:c r="B161" t="n">
        <x:f>RAND()</x:f>
        <x:v>0.49237112387751647</x:v>
      </x:c>
      <x:c r="C161" t="n">
        <x:f>MIN(47,INT(B161*47)+1)</x:f>
        <x:v>24</x:v>
      </x:c>
      <x:c r="D161" t="n">
        <x:f>INDEX(Datos_47_semanas!$B$4:$B$50,C161)</x:f>
        <x:v>186</x:v>
      </x:c>
      <x:c r="E161" t="n">
        <x:f>MIN($B$4,D161)*$B$7+MAX($B$4-D161,0)*$B$9-$B$4*$B$8</x:f>
        <x:v>113.59999999999997</x:v>
      </x:c>
      <x:c r="F161" t="n">
        <x:f>MIN($B$5,D161)*$B$7+MAX($B$5-D161,0)*$B$9-$B$5*$B$8</x:f>
        <x:v>86.09999999999997</x:v>
      </x:c>
      <x:c r="G161" t="n">
        <x:f>MIN($B$6,D161)*$B$7+MAX($B$6-D161,0)*$B$9-$B$6*$B$8</x:f>
        <x:v>31.099999999999966</x:v>
      </x:c>
      <x:c r="H161" t="n">
        <x:f>MAX(D161-$B$5,0)</x:f>
        <x:v>0</x:v>
      </x:c>
      <x:c r="I161" t="n">
        <x:f>MAX($B$5-D161,0)</x:f>
        <x:v>114</x:v>
      </x:c>
    </x:row>
    <x:row r="162">
      <x:c r="A162" t="n">
        <x:f>150</x:f>
        <x:v>150</x:v>
      </x:c>
      <x:c r="B162" t="n">
        <x:f>RAND()</x:f>
        <x:v>0.03341562811921561</x:v>
      </x:c>
      <x:c r="C162" t="n">
        <x:f>MIN(47,INT(B162*47)+1)</x:f>
        <x:v>2</x:v>
      </x:c>
      <x:c r="D162" t="n">
        <x:f>INDEX(Datos_47_semanas!$B$4:$B$50,C162)</x:f>
        <x:v>282</x:v>
      </x:c>
      <x:c r="E162" t="n">
        <x:f>MIN($B$4,D162)*$B$7+MAX($B$4-D162,0)*$B$9-$B$4*$B$8</x:f>
        <x:v>200</x:v>
      </x:c>
      <x:c r="F162" t="n">
        <x:f>MIN($B$5,D162)*$B$7+MAX($B$5-D162,0)*$B$9-$B$5*$B$8</x:f>
        <x:v>215.69999999999993</x:v>
      </x:c>
      <x:c r="G162" t="n">
        <x:f>MIN($B$6,D162)*$B$7+MAX($B$6-D162,0)*$B$9-$B$6*$B$8</x:f>
        <x:v>160.69999999999993</x:v>
      </x:c>
      <x:c r="H162" t="n">
        <x:f>MAX(D162-$B$5,0)</x:f>
        <x:v>0</x:v>
      </x:c>
      <x:c r="I162" t="n">
        <x:f>MAX($B$5-D162,0)</x:f>
        <x:v>18</x:v>
      </x:c>
    </x:row>
    <x:row r="163">
      <x:c r="A163" t="n">
        <x:f>151</x:f>
        <x:v>151</x:v>
      </x:c>
      <x:c r="B163" t="n">
        <x:f>RAND()</x:f>
        <x:v>0.09191134347388208</x:v>
      </x:c>
      <x:c r="C163" t="n">
        <x:f>MIN(47,INT(B163*47)+1)</x:f>
        <x:v>5</x:v>
      </x:c>
      <x:c r="D163" t="n">
        <x:f>INDEX(Datos_47_semanas!$B$4:$B$50,C163)</x:f>
        <x:v>347</x:v>
      </x:c>
      <x:c r="E163" t="n">
        <x:f>MIN($B$4,D163)*$B$7+MAX($B$4-D163,0)*$B$9-$B$4*$B$8</x:f>
        <x:v>200</x:v>
      </x:c>
      <x:c r="F163" t="n">
        <x:f>MIN($B$5,D163)*$B$7+MAX($B$5-D163,0)*$B$9-$B$5*$B$8</x:f>
        <x:v>240</x:v>
      </x:c>
      <x:c r="G163" t="n">
        <x:f>MIN($B$6,D163)*$B$7+MAX($B$6-D163,0)*$B$9-$B$6*$B$8</x:f>
        <x:v>248.44999999999993</x:v>
      </x:c>
      <x:c r="H163" t="n">
        <x:f>MAX(D163-$B$5,0)</x:f>
        <x:v>47</x:v>
      </x:c>
      <x:c r="I163" t="n">
        <x:f>MAX($B$5-D163,0)</x:f>
        <x:v>0</x:v>
      </x:c>
    </x:row>
    <x:row r="164">
      <x:c r="A164" t="n">
        <x:f>152</x:f>
        <x:v>152</x:v>
      </x:c>
      <x:c r="B164" t="n">
        <x:f>RAND()</x:f>
        <x:v>0.2661867879106692</x:v>
      </x:c>
      <x:c r="C164" t="n">
        <x:f>MIN(47,INT(B164*47)+1)</x:f>
        <x:v>13</x:v>
      </x:c>
      <x:c r="D164" t="n">
        <x:f>INDEX(Datos_47_semanas!$B$4:$B$50,C164)</x:f>
        <x:v>517</x:v>
      </x:c>
      <x:c r="E164" t="n">
        <x:f>MIN($B$4,D164)*$B$7+MAX($B$4-D164,0)*$B$9-$B$4*$B$8</x:f>
        <x:v>200</x:v>
      </x:c>
      <x:c r="F164" t="n">
        <x:f>MIN($B$5,D164)*$B$7+MAX($B$5-D164,0)*$B$9-$B$5*$B$8</x:f>
        <x:v>240</x:v>
      </x:c>
      <x:c r="G164" t="n">
        <x:f>MIN($B$6,D164)*$B$7+MAX($B$6-D164,0)*$B$9-$B$6*$B$8</x:f>
        <x:v>320</x:v>
      </x:c>
      <x:c r="H164" t="n">
        <x:f>MAX(D164-$B$5,0)</x:f>
        <x:v>217</x:v>
      </x:c>
      <x:c r="I164" t="n">
        <x:f>MAX($B$5-D164,0)</x:f>
        <x:v>0</x:v>
      </x:c>
    </x:row>
    <x:row r="165">
      <x:c r="A165" t="n">
        <x:f>153</x:f>
        <x:v>153</x:v>
      </x:c>
      <x:c r="B165" t="n">
        <x:f>RAND()</x:f>
        <x:v>0.41241366082433406</x:v>
      </x:c>
      <x:c r="C165" t="n">
        <x:f>MIN(47,INT(B165*47)+1)</x:f>
        <x:v>20</x:v>
      </x:c>
      <x:c r="D165" t="n">
        <x:f>INDEX(Datos_47_semanas!$B$4:$B$50,C165)</x:f>
        <x:v>335</x:v>
      </x:c>
      <x:c r="E165" t="n">
        <x:f>MIN($B$4,D165)*$B$7+MAX($B$4-D165,0)*$B$9-$B$4*$B$8</x:f>
        <x:v>200</x:v>
      </x:c>
      <x:c r="F165" t="n">
        <x:f>MIN($B$5,D165)*$B$7+MAX($B$5-D165,0)*$B$9-$B$5*$B$8</x:f>
        <x:v>240</x:v>
      </x:c>
      <x:c r="G165" t="n">
        <x:f>MIN($B$6,D165)*$B$7+MAX($B$6-D165,0)*$B$9-$B$6*$B$8</x:f>
        <x:v>232.25</x:v>
      </x:c>
      <x:c r="H165" t="n">
        <x:f>MAX(D165-$B$5,0)</x:f>
        <x:v>35</x:v>
      </x:c>
      <x:c r="I165" t="n">
        <x:f>MAX($B$5-D165,0)</x:f>
        <x:v>0</x:v>
      </x:c>
    </x:row>
    <x:row r="166">
      <x:c r="A166" t="n">
        <x:f>154</x:f>
        <x:v>154</x:v>
      </x:c>
      <x:c r="B166" t="n">
        <x:f>RAND()</x:f>
        <x:v>0.5185504504768631</x:v>
      </x:c>
      <x:c r="C166" t="n">
        <x:f>MIN(47,INT(B166*47)+1)</x:f>
        <x:v>25</x:v>
      </x:c>
      <x:c r="D166" t="n">
        <x:f>INDEX(Datos_47_semanas!$B$4:$B$50,C166)</x:f>
        <x:v>218</x:v>
      </x:c>
      <x:c r="E166" t="n">
        <x:f>MIN($B$4,D166)*$B$7+MAX($B$4-D166,0)*$B$9-$B$4*$B$8</x:f>
        <x:v>156.8</x:v>
      </x:c>
      <x:c r="F166" t="n">
        <x:f>MIN($B$5,D166)*$B$7+MAX($B$5-D166,0)*$B$9-$B$5*$B$8</x:f>
        <x:v>129.3</x:v>
      </x:c>
      <x:c r="G166" t="n">
        <x:f>MIN($B$6,D166)*$B$7+MAX($B$6-D166,0)*$B$9-$B$6*$B$8</x:f>
        <x:v>74.30000000000001</x:v>
      </x:c>
      <x:c r="H166" t="n">
        <x:f>MAX(D166-$B$5,0)</x:f>
        <x:v>0</x:v>
      </x:c>
      <x:c r="I166" t="n">
        <x:f>MAX($B$5-D166,0)</x:f>
        <x:v>82</x:v>
      </x:c>
    </x:row>
    <x:row r="167">
      <x:c r="A167" t="n">
        <x:f>155</x:f>
        <x:v>155</x:v>
      </x:c>
      <x:c r="B167" t="n">
        <x:f>RAND()</x:f>
        <x:v>0.6338563997667614</x:v>
      </x:c>
      <x:c r="C167" t="n">
        <x:f>MIN(47,INT(B167*47)+1)</x:f>
        <x:v>30</x:v>
      </x:c>
      <x:c r="D167" t="n">
        <x:f>INDEX(Datos_47_semanas!$B$4:$B$50,C167)</x:f>
        <x:v>345</x:v>
      </x:c>
      <x:c r="E167" t="n">
        <x:f>MIN($B$4,D167)*$B$7+MAX($B$4-D167,0)*$B$9-$B$4*$B$8</x:f>
        <x:v>200</x:v>
      </x:c>
      <x:c r="F167" t="n">
        <x:f>MIN($B$5,D167)*$B$7+MAX($B$5-D167,0)*$B$9-$B$5*$B$8</x:f>
        <x:v>240</x:v>
      </x:c>
      <x:c r="G167" t="n">
        <x:f>MIN($B$6,D167)*$B$7+MAX($B$6-D167,0)*$B$9-$B$6*$B$8</x:f>
        <x:v>245.75</x:v>
      </x:c>
      <x:c r="H167" t="n">
        <x:f>MAX(D167-$B$5,0)</x:f>
        <x:v>45</x:v>
      </x:c>
      <x:c r="I167" t="n">
        <x:f>MAX($B$5-D167,0)</x:f>
        <x:v>0</x:v>
      </x:c>
    </x:row>
    <x:row r="168">
      <x:c r="A168" t="n">
        <x:f>156</x:f>
        <x:v>156</x:v>
      </x:c>
      <x:c r="B168" t="n">
        <x:f>RAND()</x:f>
        <x:v>0.577516877497474</x:v>
      </x:c>
      <x:c r="C168" t="n">
        <x:f>MIN(47,INT(B168*47)+1)</x:f>
        <x:v>28</x:v>
      </x:c>
      <x:c r="D168" t="n">
        <x:f>INDEX(Datos_47_semanas!$B$4:$B$50,C168)</x:f>
        <x:v>201</x:v>
      </x:c>
      <x:c r="E168" t="n">
        <x:f>MIN($B$4,D168)*$B$7+MAX($B$4-D168,0)*$B$9-$B$4*$B$8</x:f>
        <x:v>133.84999999999997</x:v>
      </x:c>
      <x:c r="F168" t="n">
        <x:f>MIN($B$5,D168)*$B$7+MAX($B$5-D168,0)*$B$9-$B$5*$B$8</x:f>
        <x:v>106.34999999999997</x:v>
      </x:c>
      <x:c r="G168" t="n">
        <x:f>MIN($B$6,D168)*$B$7+MAX($B$6-D168,0)*$B$9-$B$6*$B$8</x:f>
        <x:v>51.349999999999966</x:v>
      </x:c>
      <x:c r="H168" t="n">
        <x:f>MAX(D168-$B$5,0)</x:f>
        <x:v>0</x:v>
      </x:c>
      <x:c r="I168" t="n">
        <x:f>MAX($B$5-D168,0)</x:f>
        <x:v>99</x:v>
      </x:c>
    </x:row>
    <x:row r="169">
      <x:c r="A169" t="n">
        <x:f>157</x:f>
        <x:v>157</x:v>
      </x:c>
      <x:c r="B169" t="n">
        <x:f>RAND()</x:f>
        <x:v>0.8890251854146187</x:v>
      </x:c>
      <x:c r="C169" t="n">
        <x:f>MIN(47,INT(B169*47)+1)</x:f>
        <x:v>42</x:v>
      </x:c>
      <x:c r="D169" t="n">
        <x:f>INDEX(Datos_47_semanas!$B$4:$B$50,C169)</x:f>
        <x:v>146</x:v>
      </x:c>
      <x:c r="E169" t="n">
        <x:f>MIN($B$4,D169)*$B$7+MAX($B$4-D169,0)*$B$9-$B$4*$B$8</x:f>
        <x:v>59.599999999999966</x:v>
      </x:c>
      <x:c r="F169" t="n">
        <x:f>MIN($B$5,D169)*$B$7+MAX($B$5-D169,0)*$B$9-$B$5*$B$8</x:f>
        <x:v>32.099999999999966</x:v>
      </x:c>
      <x:c r="G169" t="n">
        <x:f>MIN($B$6,D169)*$B$7+MAX($B$6-D169,0)*$B$9-$B$6*$B$8</x:f>
        <x:v>-22.900000000000034</x:v>
      </x:c>
      <x:c r="H169" t="n">
        <x:f>MAX(D169-$B$5,0)</x:f>
        <x:v>0</x:v>
      </x:c>
      <x:c r="I169" t="n">
        <x:f>MAX($B$5-D169,0)</x:f>
        <x:v>154</x:v>
      </x:c>
    </x:row>
    <x:row r="170">
      <x:c r="A170" t="n">
        <x:f>158</x:f>
        <x:v>158</x:v>
      </x:c>
      <x:c r="B170" t="n">
        <x:f>RAND()</x:f>
        <x:v>0.642719374139472</x:v>
      </x:c>
      <x:c r="C170" t="n">
        <x:f>MIN(47,INT(B170*47)+1)</x:f>
        <x:v>31</x:v>
      </x:c>
      <x:c r="D170" t="n">
        <x:f>INDEX(Datos_47_semanas!$B$4:$B$50,C170)</x:f>
        <x:v>583</x:v>
      </x:c>
      <x:c r="E170" t="n">
        <x:f>MIN($B$4,D170)*$B$7+MAX($B$4-D170,0)*$B$9-$B$4*$B$8</x:f>
        <x:v>200</x:v>
      </x:c>
      <x:c r="F170" t="n">
        <x:f>MIN($B$5,D170)*$B$7+MAX($B$5-D170,0)*$B$9-$B$5*$B$8</x:f>
        <x:v>240</x:v>
      </x:c>
      <x:c r="G170" t="n">
        <x:f>MIN($B$6,D170)*$B$7+MAX($B$6-D170,0)*$B$9-$B$6*$B$8</x:f>
        <x:v>320</x:v>
      </x:c>
      <x:c r="H170" t="n">
        <x:f>MAX(D170-$B$5,0)</x:f>
        <x:v>283</x:v>
      </x:c>
      <x:c r="I170" t="n">
        <x:f>MAX($B$5-D170,0)</x:f>
        <x:v>0</x:v>
      </x:c>
    </x:row>
    <x:row r="171">
      <x:c r="A171" t="n">
        <x:f>159</x:f>
        <x:v>159</x:v>
      </x:c>
      <x:c r="B171" t="n">
        <x:f>RAND()</x:f>
        <x:v>0.4737657320671689</x:v>
      </x:c>
      <x:c r="C171" t="n">
        <x:f>MIN(47,INT(B171*47)+1)</x:f>
        <x:v>23</x:v>
      </x:c>
      <x:c r="D171" t="n">
        <x:f>INDEX(Datos_47_semanas!$B$4:$B$50,C171)</x:f>
        <x:v>565</x:v>
      </x:c>
      <x:c r="E171" t="n">
        <x:f>MIN($B$4,D171)*$B$7+MAX($B$4-D171,0)*$B$9-$B$4*$B$8</x:f>
        <x:v>200</x:v>
      </x:c>
      <x:c r="F171" t="n">
        <x:f>MIN($B$5,D171)*$B$7+MAX($B$5-D171,0)*$B$9-$B$5*$B$8</x:f>
        <x:v>240</x:v>
      </x:c>
      <x:c r="G171" t="n">
        <x:f>MIN($B$6,D171)*$B$7+MAX($B$6-D171,0)*$B$9-$B$6*$B$8</x:f>
        <x:v>320</x:v>
      </x:c>
      <x:c r="H171" t="n">
        <x:f>MAX(D171-$B$5,0)</x:f>
        <x:v>265</x:v>
      </x:c>
      <x:c r="I171" t="n">
        <x:f>MAX($B$5-D171,0)</x:f>
        <x:v>0</x:v>
      </x:c>
    </x:row>
    <x:row r="172">
      <x:c r="A172" t="n">
        <x:f>160</x:f>
        <x:v>160</x:v>
      </x:c>
      <x:c r="B172" t="n">
        <x:f>RAND()</x:f>
        <x:v>0.9628008841783606</x:v>
      </x:c>
      <x:c r="C172" t="n">
        <x:f>MIN(47,INT(B172*47)+1)</x:f>
        <x:v>46</x:v>
      </x:c>
      <x:c r="D172" t="n">
        <x:f>INDEX(Datos_47_semanas!$B$4:$B$50,C172)</x:f>
        <x:v>449</x:v>
      </x:c>
      <x:c r="E172" t="n">
        <x:f>MIN($B$4,D172)*$B$7+MAX($B$4-D172,0)*$B$9-$B$4*$B$8</x:f>
        <x:v>200</x:v>
      </x:c>
      <x:c r="F172" t="n">
        <x:f>MIN($B$5,D172)*$B$7+MAX($B$5-D172,0)*$B$9-$B$5*$B$8</x:f>
        <x:v>240</x:v>
      </x:c>
      <x:c r="G172" t="n">
        <x:f>MIN($B$6,D172)*$B$7+MAX($B$6-D172,0)*$B$9-$B$6*$B$8</x:f>
        <x:v>320</x:v>
      </x:c>
      <x:c r="H172" t="n">
        <x:f>MAX(D172-$B$5,0)</x:f>
        <x:v>149</x:v>
      </x:c>
      <x:c r="I172" t="n">
        <x:f>MAX($B$5-D172,0)</x:f>
        <x:v>0</x:v>
      </x:c>
    </x:row>
    <x:row r="173">
      <x:c r="A173" t="n">
        <x:f>161</x:f>
        <x:v>161</x:v>
      </x:c>
      <x:c r="B173" t="n">
        <x:f>RAND()</x:f>
        <x:v>0.49070804923781863</x:v>
      </x:c>
      <x:c r="C173" t="n">
        <x:f>MIN(47,INT(B173*47)+1)</x:f>
        <x:v>24</x:v>
      </x:c>
      <x:c r="D173" t="n">
        <x:f>INDEX(Datos_47_semanas!$B$4:$B$50,C173)</x:f>
        <x:v>186</x:v>
      </x:c>
      <x:c r="E173" t="n">
        <x:f>MIN($B$4,D173)*$B$7+MAX($B$4-D173,0)*$B$9-$B$4*$B$8</x:f>
        <x:v>113.59999999999997</x:v>
      </x:c>
      <x:c r="F173" t="n">
        <x:f>MIN($B$5,D173)*$B$7+MAX($B$5-D173,0)*$B$9-$B$5*$B$8</x:f>
        <x:v>86.09999999999997</x:v>
      </x:c>
      <x:c r="G173" t="n">
        <x:f>MIN($B$6,D173)*$B$7+MAX($B$6-D173,0)*$B$9-$B$6*$B$8</x:f>
        <x:v>31.099999999999966</x:v>
      </x:c>
      <x:c r="H173" t="n">
        <x:f>MAX(D173-$B$5,0)</x:f>
        <x:v>0</x:v>
      </x:c>
      <x:c r="I173" t="n">
        <x:f>MAX($B$5-D173,0)</x:f>
        <x:v>114</x:v>
      </x:c>
    </x:row>
    <x:row r="174">
      <x:c r="A174" t="n">
        <x:f>162</x:f>
        <x:v>162</x:v>
      </x:c>
      <x:c r="B174" t="n">
        <x:f>RAND()</x:f>
        <x:v>0.3461046375027782</x:v>
      </x:c>
      <x:c r="C174" t="n">
        <x:f>MIN(47,INT(B174*47)+1)</x:f>
        <x:v>17</x:v>
      </x:c>
      <x:c r="D174" t="n">
        <x:f>INDEX(Datos_47_semanas!$B$4:$B$50,C174)</x:f>
        <x:v>154</x:v>
      </x:c>
      <x:c r="E174" t="n">
        <x:f>MIN($B$4,D174)*$B$7+MAX($B$4-D174,0)*$B$9-$B$4*$B$8</x:f>
        <x:v>70.39999999999998</x:v>
      </x:c>
      <x:c r="F174" t="n">
        <x:f>MIN($B$5,D174)*$B$7+MAX($B$5-D174,0)*$B$9-$B$5*$B$8</x:f>
        <x:v>42.89999999999998</x:v>
      </x:c>
      <x:c r="G174" t="n">
        <x:f>MIN($B$6,D174)*$B$7+MAX($B$6-D174,0)*$B$9-$B$6*$B$8</x:f>
        <x:v>-12.100000000000023</x:v>
      </x:c>
      <x:c r="H174" t="n">
        <x:f>MAX(D174-$B$5,0)</x:f>
        <x:v>0</x:v>
      </x:c>
      <x:c r="I174" t="n">
        <x:f>MAX($B$5-D174,0)</x:f>
        <x:v>146</x:v>
      </x:c>
    </x:row>
    <x:row r="175">
      <x:c r="A175" t="n">
        <x:f>163</x:f>
        <x:v>163</x:v>
      </x:c>
      <x:c r="B175" t="n">
        <x:f>RAND()</x:f>
        <x:v>0.5390951014075996</x:v>
      </x:c>
      <x:c r="C175" t="n">
        <x:f>MIN(47,INT(B175*47)+1)</x:f>
        <x:v>26</x:v>
      </x:c>
      <x:c r="D175" t="n">
        <x:f>INDEX(Datos_47_semanas!$B$4:$B$50,C175)</x:f>
        <x:v>183</x:v>
      </x:c>
      <x:c r="E175" t="n">
        <x:f>MIN($B$4,D175)*$B$7+MAX($B$4-D175,0)*$B$9-$B$4*$B$8</x:f>
        <x:v>109.55000000000001</x:v>
      </x:c>
      <x:c r="F175" t="n">
        <x:f>MIN($B$5,D175)*$B$7+MAX($B$5-D175,0)*$B$9-$B$5*$B$8</x:f>
        <x:v>82.05000000000001</x:v>
      </x:c>
      <x:c r="G175" t="n">
        <x:f>MIN($B$6,D175)*$B$7+MAX($B$6-D175,0)*$B$9-$B$6*$B$8</x:f>
        <x:v>27.049999999999955</x:v>
      </x:c>
      <x:c r="H175" t="n">
        <x:f>MAX(D175-$B$5,0)</x:f>
        <x:v>0</x:v>
      </x:c>
      <x:c r="I175" t="n">
        <x:f>MAX($B$5-D175,0)</x:f>
        <x:v>117</x:v>
      </x:c>
    </x:row>
    <x:row r="176">
      <x:c r="A176" t="n">
        <x:f>164</x:f>
        <x:v>164</x:v>
      </x:c>
      <x:c r="B176" t="n">
        <x:f>RAND()</x:f>
        <x:v>0.39782547336744123</x:v>
      </x:c>
      <x:c r="C176" t="n">
        <x:f>MIN(47,INT(B176*47)+1)</x:f>
        <x:v>19</x:v>
      </x:c>
      <x:c r="D176" t="n">
        <x:f>INDEX(Datos_47_semanas!$B$4:$B$50,C176)</x:f>
        <x:v>470</x:v>
      </x:c>
      <x:c r="E176" t="n">
        <x:f>MIN($B$4,D176)*$B$7+MAX($B$4-D176,0)*$B$9-$B$4*$B$8</x:f>
        <x:v>200</x:v>
      </x:c>
      <x:c r="F176" t="n">
        <x:f>MIN($B$5,D176)*$B$7+MAX($B$5-D176,0)*$B$9-$B$5*$B$8</x:f>
        <x:v>240</x:v>
      </x:c>
      <x:c r="G176" t="n">
        <x:f>MIN($B$6,D176)*$B$7+MAX($B$6-D176,0)*$B$9-$B$6*$B$8</x:f>
        <x:v>320</x:v>
      </x:c>
      <x:c r="H176" t="n">
        <x:f>MAX(D176-$B$5,0)</x:f>
        <x:v>170</x:v>
      </x:c>
      <x:c r="I176" t="n">
        <x:f>MAX($B$5-D176,0)</x:f>
        <x:v>0</x:v>
      </x:c>
    </x:row>
    <x:row r="177">
      <x:c r="A177" t="n">
        <x:f>165</x:f>
        <x:v>165</x:v>
      </x:c>
      <x:c r="B177" t="n">
        <x:f>RAND()</x:f>
        <x:v>0.203555780054144</x:v>
      </x:c>
      <x:c r="C177" t="n">
        <x:f>MIN(47,INT(B177*47)+1)</x:f>
        <x:v>10</x:v>
      </x:c>
      <x:c r="D177" t="n">
        <x:f>INDEX(Datos_47_semanas!$B$4:$B$50,C177)</x:f>
        <x:v>98</x:v>
      </x:c>
      <x:c r="E177" t="n">
        <x:f>MIN($B$4,D177)*$B$7+MAX($B$4-D177,0)*$B$9-$B$4*$B$8</x:f>
        <x:v>-5.200000000000017</x:v>
      </x:c>
      <x:c r="F177" t="n">
        <x:f>MIN($B$5,D177)*$B$7+MAX($B$5-D177,0)*$B$9-$B$5*$B$8</x:f>
        <x:v>-32.70000000000002</x:v>
      </x:c>
      <x:c r="G177" t="n">
        <x:f>MIN($B$6,D177)*$B$7+MAX($B$6-D177,0)*$B$9-$B$6*$B$8</x:f>
        <x:v>-87.70000000000002</x:v>
      </x:c>
      <x:c r="H177" t="n">
        <x:f>MAX(D177-$B$5,0)</x:f>
        <x:v>0</x:v>
      </x:c>
      <x:c r="I177" t="n">
        <x:f>MAX($B$5-D177,0)</x:f>
        <x:v>202</x:v>
      </x:c>
    </x:row>
    <x:row r="178">
      <x:c r="A178" t="n">
        <x:f>166</x:f>
        <x:v>166</x:v>
      </x:c>
      <x:c r="B178" t="n">
        <x:f>RAND()</x:f>
        <x:v>0.5158527800429145</x:v>
      </x:c>
      <x:c r="C178" t="n">
        <x:f>MIN(47,INT(B178*47)+1)</x:f>
        <x:v>25</x:v>
      </x:c>
      <x:c r="D178" t="n">
        <x:f>INDEX(Datos_47_semanas!$B$4:$B$50,C178)</x:f>
        <x:v>218</x:v>
      </x:c>
      <x:c r="E178" t="n">
        <x:f>MIN($B$4,D178)*$B$7+MAX($B$4-D178,0)*$B$9-$B$4*$B$8</x:f>
        <x:v>156.8</x:v>
      </x:c>
      <x:c r="F178" t="n">
        <x:f>MIN($B$5,D178)*$B$7+MAX($B$5-D178,0)*$B$9-$B$5*$B$8</x:f>
        <x:v>129.3</x:v>
      </x:c>
      <x:c r="G178" t="n">
        <x:f>MIN($B$6,D178)*$B$7+MAX($B$6-D178,0)*$B$9-$B$6*$B$8</x:f>
        <x:v>74.30000000000001</x:v>
      </x:c>
      <x:c r="H178" t="n">
        <x:f>MAX(D178-$B$5,0)</x:f>
        <x:v>0</x:v>
      </x:c>
      <x:c r="I178" t="n">
        <x:f>MAX($B$5-D178,0)</x:f>
        <x:v>82</x:v>
      </x:c>
    </x:row>
    <x:row r="179">
      <x:c r="A179" t="n">
        <x:f>167</x:f>
        <x:v>167</x:v>
      </x:c>
      <x:c r="B179" t="n">
        <x:f>RAND()</x:f>
        <x:v>0.7258095411438473</x:v>
      </x:c>
      <x:c r="C179" t="n">
        <x:f>MIN(47,INT(B179*47)+1)</x:f>
        <x:v>35</x:v>
      </x:c>
      <x:c r="D179" t="n">
        <x:f>INDEX(Datos_47_semanas!$B$4:$B$50,C179)</x:f>
        <x:v>192</x:v>
      </x:c>
      <x:c r="E179" t="n">
        <x:f>MIN($B$4,D179)*$B$7+MAX($B$4-D179,0)*$B$9-$B$4*$B$8</x:f>
        <x:v>121.69999999999993</x:v>
      </x:c>
      <x:c r="F179" t="n">
        <x:f>MIN($B$5,D179)*$B$7+MAX($B$5-D179,0)*$B$9-$B$5*$B$8</x:f>
        <x:v>94.19999999999993</x:v>
      </x:c>
      <x:c r="G179" t="n">
        <x:f>MIN($B$6,D179)*$B$7+MAX($B$6-D179,0)*$B$9-$B$6*$B$8</x:f>
        <x:v>39.19999999999993</x:v>
      </x:c>
      <x:c r="H179" t="n">
        <x:f>MAX(D179-$B$5,0)</x:f>
        <x:v>0</x:v>
      </x:c>
      <x:c r="I179" t="n">
        <x:f>MAX($B$5-D179,0)</x:f>
        <x:v>108</x:v>
      </x:c>
    </x:row>
    <x:row r="180">
      <x:c r="A180" t="n">
        <x:f>168</x:f>
        <x:v>168</x:v>
      </x:c>
      <x:c r="B180" t="n">
        <x:f>RAND()</x:f>
        <x:v>0.9401223408693525</x:v>
      </x:c>
      <x:c r="C180" t="n">
        <x:f>MIN(47,INT(B180*47)+1)</x:f>
        <x:v>45</x:v>
      </x:c>
      <x:c r="D180" t="n">
        <x:f>INDEX(Datos_47_semanas!$B$4:$B$50,C180)</x:f>
        <x:v>526</x:v>
      </x:c>
      <x:c r="E180" t="n">
        <x:f>MIN($B$4,D180)*$B$7+MAX($B$4-D180,0)*$B$9-$B$4*$B$8</x:f>
        <x:v>200</x:v>
      </x:c>
      <x:c r="F180" t="n">
        <x:f>MIN($B$5,D180)*$B$7+MAX($B$5-D180,0)*$B$9-$B$5*$B$8</x:f>
        <x:v>240</x:v>
      </x:c>
      <x:c r="G180" t="n">
        <x:f>MIN($B$6,D180)*$B$7+MAX($B$6-D180,0)*$B$9-$B$6*$B$8</x:f>
        <x:v>320</x:v>
      </x:c>
      <x:c r="H180" t="n">
        <x:f>MAX(D180-$B$5,0)</x:f>
        <x:v>226</x:v>
      </x:c>
      <x:c r="I180" t="n">
        <x:f>MAX($B$5-D180,0)</x:f>
        <x:v>0</x:v>
      </x:c>
    </x:row>
    <x:row r="181">
      <x:c r="A181" t="n">
        <x:f>169</x:f>
        <x:v>169</x:v>
      </x:c>
      <x:c r="B181" t="n">
        <x:f>RAND()</x:f>
        <x:v>0.4912300738549179</x:v>
      </x:c>
      <x:c r="C181" t="n">
        <x:f>MIN(47,INT(B181*47)+1)</x:f>
        <x:v>24</x:v>
      </x:c>
      <x:c r="D181" t="n">
        <x:f>INDEX(Datos_47_semanas!$B$4:$B$50,C181)</x:f>
        <x:v>186</x:v>
      </x:c>
      <x:c r="E181" t="n">
        <x:f>MIN($B$4,D181)*$B$7+MAX($B$4-D181,0)*$B$9-$B$4*$B$8</x:f>
        <x:v>113.59999999999997</x:v>
      </x:c>
      <x:c r="F181" t="n">
        <x:f>MIN($B$5,D181)*$B$7+MAX($B$5-D181,0)*$B$9-$B$5*$B$8</x:f>
        <x:v>86.09999999999997</x:v>
      </x:c>
      <x:c r="G181" t="n">
        <x:f>MIN($B$6,D181)*$B$7+MAX($B$6-D181,0)*$B$9-$B$6*$B$8</x:f>
        <x:v>31.099999999999966</x:v>
      </x:c>
      <x:c r="H181" t="n">
        <x:f>MAX(D181-$B$5,0)</x:f>
        <x:v>0</x:v>
      </x:c>
      <x:c r="I181" t="n">
        <x:f>MAX($B$5-D181,0)</x:f>
        <x:v>114</x:v>
      </x:c>
    </x:row>
    <x:row r="182">
      <x:c r="A182" t="n">
        <x:f>170</x:f>
        <x:v>170</x:v>
      </x:c>
      <x:c r="B182" t="n">
        <x:f>RAND()</x:f>
        <x:v>0.7828235693402945</x:v>
      </x:c>
      <x:c r="C182" t="n">
        <x:f>MIN(47,INT(B182*47)+1)</x:f>
        <x:v>37</x:v>
      </x:c>
      <x:c r="D182" t="n">
        <x:f>INDEX(Datos_47_semanas!$B$4:$B$50,C182)</x:f>
        <x:v>299</x:v>
      </x:c>
      <x:c r="E182" t="n">
        <x:f>MIN($B$4,D182)*$B$7+MAX($B$4-D182,0)*$B$9-$B$4*$B$8</x:f>
        <x:v>200</x:v>
      </x:c>
      <x:c r="F182" t="n">
        <x:f>MIN($B$5,D182)*$B$7+MAX($B$5-D182,0)*$B$9-$B$5*$B$8</x:f>
        <x:v>238.64999999999998</x:v>
      </x:c>
      <x:c r="G182" t="n">
        <x:f>MIN($B$6,D182)*$B$7+MAX($B$6-D182,0)*$B$9-$B$6*$B$8</x:f>
        <x:v>183.64999999999998</x:v>
      </x:c>
      <x:c r="H182" t="n">
        <x:f>MAX(D182-$B$5,0)</x:f>
        <x:v>0</x:v>
      </x:c>
      <x:c r="I182" t="n">
        <x:f>MAX($B$5-D182,0)</x:f>
        <x:v>1</x:v>
      </x:c>
    </x:row>
    <x:row r="183">
      <x:c r="A183" t="n">
        <x:f>171</x:f>
        <x:v>171</x:v>
      </x:c>
      <x:c r="B183" t="n">
        <x:f>RAND()</x:f>
        <x:v>0.5170863114326397</x:v>
      </x:c>
      <x:c r="C183" t="n">
        <x:f>MIN(47,INT(B183*47)+1)</x:f>
        <x:v>25</x:v>
      </x:c>
      <x:c r="D183" t="n">
        <x:f>INDEX(Datos_47_semanas!$B$4:$B$50,C183)</x:f>
        <x:v>218</x:v>
      </x:c>
      <x:c r="E183" t="n">
        <x:f>MIN($B$4,D183)*$B$7+MAX($B$4-D183,0)*$B$9-$B$4*$B$8</x:f>
        <x:v>156.8</x:v>
      </x:c>
      <x:c r="F183" t="n">
        <x:f>MIN($B$5,D183)*$B$7+MAX($B$5-D183,0)*$B$9-$B$5*$B$8</x:f>
        <x:v>129.3</x:v>
      </x:c>
      <x:c r="G183" t="n">
        <x:f>MIN($B$6,D183)*$B$7+MAX($B$6-D183,0)*$B$9-$B$6*$B$8</x:f>
        <x:v>74.30000000000001</x:v>
      </x:c>
      <x:c r="H183" t="n">
        <x:f>MAX(D183-$B$5,0)</x:f>
        <x:v>0</x:v>
      </x:c>
      <x:c r="I183" t="n">
        <x:f>MAX($B$5-D183,0)</x:f>
        <x:v>82</x:v>
      </x:c>
    </x:row>
    <x:row r="184">
      <x:c r="A184" t="n">
        <x:f>172</x:f>
        <x:v>172</x:v>
      </x:c>
      <x:c r="B184" t="n">
        <x:f>RAND()</x:f>
        <x:v>0.7987547317446525</x:v>
      </x:c>
      <x:c r="C184" t="n">
        <x:f>MIN(47,INT(B184*47)+1)</x:f>
        <x:v>38</x:v>
      </x:c>
      <x:c r="D184" t="n">
        <x:f>INDEX(Datos_47_semanas!$B$4:$B$50,C184)</x:f>
        <x:v>212</x:v>
      </x:c>
      <x:c r="E184" t="n">
        <x:f>MIN($B$4,D184)*$B$7+MAX($B$4-D184,0)*$B$9-$B$4*$B$8</x:f>
        <x:v>148.69999999999993</x:v>
      </x:c>
      <x:c r="F184" t="n">
        <x:f>MIN($B$5,D184)*$B$7+MAX($B$5-D184,0)*$B$9-$B$5*$B$8</x:f>
        <x:v>121.19999999999993</x:v>
      </x:c>
      <x:c r="G184" t="n">
        <x:f>MIN($B$6,D184)*$B$7+MAX($B$6-D184,0)*$B$9-$B$6*$B$8</x:f>
        <x:v>66.19999999999993</x:v>
      </x:c>
      <x:c r="H184" t="n">
        <x:f>MAX(D184-$B$5,0)</x:f>
        <x:v>0</x:v>
      </x:c>
      <x:c r="I184" t="n">
        <x:f>MAX($B$5-D184,0)</x:f>
        <x:v>88</x:v>
      </x:c>
    </x:row>
    <x:row r="185">
      <x:c r="A185" t="n">
        <x:f>173</x:f>
        <x:v>173</x:v>
      </x:c>
      <x:c r="B185" t="n">
        <x:f>RAND()</x:f>
        <x:v>0.8670127076458801</x:v>
      </x:c>
      <x:c r="C185" t="n">
        <x:f>MIN(47,INT(B185*47)+1)</x:f>
        <x:v>41</x:v>
      </x:c>
      <x:c r="D185" t="n">
        <x:f>INDEX(Datos_47_semanas!$B$4:$B$50,C185)</x:f>
        <x:v>383</x:v>
      </x:c>
      <x:c r="E185" t="n">
        <x:f>MIN($B$4,D185)*$B$7+MAX($B$4-D185,0)*$B$9-$B$4*$B$8</x:f>
        <x:v>200</x:v>
      </x:c>
      <x:c r="F185" t="n">
        <x:f>MIN($B$5,D185)*$B$7+MAX($B$5-D185,0)*$B$9-$B$5*$B$8</x:f>
        <x:v>240</x:v>
      </x:c>
      <x:c r="G185" t="n">
        <x:f>MIN($B$6,D185)*$B$7+MAX($B$6-D185,0)*$B$9-$B$6*$B$8</x:f>
        <x:v>297.04999999999995</x:v>
      </x:c>
      <x:c r="H185" t="n">
        <x:f>MAX(D185-$B$5,0)</x:f>
        <x:v>83</x:v>
      </x:c>
      <x:c r="I185" t="n">
        <x:f>MAX($B$5-D185,0)</x:f>
        <x:v>0</x:v>
      </x:c>
    </x:row>
    <x:row r="186">
      <x:c r="A186" t="n">
        <x:f>174</x:f>
        <x:v>174</x:v>
      </x:c>
      <x:c r="B186" t="n">
        <x:f>RAND()</x:f>
        <x:v>0.46566318480401403</x:v>
      </x:c>
      <x:c r="C186" t="n">
        <x:f>MIN(47,INT(B186*47)+1)</x:f>
        <x:v>22</x:v>
      </x:c>
      <x:c r="D186" t="n">
        <x:f>INDEX(Datos_47_semanas!$B$4:$B$50,C186)</x:f>
        <x:v>171</x:v>
      </x:c>
      <x:c r="E186" t="n">
        <x:f>MIN($B$4,D186)*$B$7+MAX($B$4-D186,0)*$B$9-$B$4*$B$8</x:f>
        <x:v>93.34999999999997</x:v>
      </x:c>
      <x:c r="F186" t="n">
        <x:f>MIN($B$5,D186)*$B$7+MAX($B$5-D186,0)*$B$9-$B$5*$B$8</x:f>
        <x:v>65.84999999999997</x:v>
      </x:c>
      <x:c r="G186" t="n">
        <x:f>MIN($B$6,D186)*$B$7+MAX($B$6-D186,0)*$B$9-$B$6*$B$8</x:f>
        <x:v>10.849999999999966</x:v>
      </x:c>
      <x:c r="H186" t="n">
        <x:f>MAX(D186-$B$5,0)</x:f>
        <x:v>0</x:v>
      </x:c>
      <x:c r="I186" t="n">
        <x:f>MAX($B$5-D186,0)</x:f>
        <x:v>129</x:v>
      </x:c>
    </x:row>
    <x:row r="187">
      <x:c r="A187" t="n">
        <x:f>175</x:f>
        <x:v>175</x:v>
      </x:c>
      <x:c r="B187" t="n">
        <x:f>RAND()</x:f>
        <x:v>0.6748308764459071</x:v>
      </x:c>
      <x:c r="C187" t="n">
        <x:f>MIN(47,INT(B187*47)+1)</x:f>
        <x:v>32</x:v>
      </x:c>
      <x:c r="D187" t="n">
        <x:f>INDEX(Datos_47_semanas!$B$4:$B$50,C187)</x:f>
        <x:v>575</x:v>
      </x:c>
      <x:c r="E187" t="n">
        <x:f>MIN($B$4,D187)*$B$7+MAX($B$4-D187,0)*$B$9-$B$4*$B$8</x:f>
        <x:v>200</x:v>
      </x:c>
      <x:c r="F187" t="n">
        <x:f>MIN($B$5,D187)*$B$7+MAX($B$5-D187,0)*$B$9-$B$5*$B$8</x:f>
        <x:v>240</x:v>
      </x:c>
      <x:c r="G187" t="n">
        <x:f>MIN($B$6,D187)*$B$7+MAX($B$6-D187,0)*$B$9-$B$6*$B$8</x:f>
        <x:v>320</x:v>
      </x:c>
      <x:c r="H187" t="n">
        <x:f>MAX(D187-$B$5,0)</x:f>
        <x:v>275</x:v>
      </x:c>
      <x:c r="I187" t="n">
        <x:f>MAX($B$5-D187,0)</x:f>
        <x:v>0</x:v>
      </x:c>
    </x:row>
    <x:row r="188">
      <x:c r="A188" t="n">
        <x:f>176</x:f>
        <x:v>176</x:v>
      </x:c>
      <x:c r="B188" t="n">
        <x:f>RAND()</x:f>
        <x:v>0.9376205020271499</x:v>
      </x:c>
      <x:c r="C188" t="n">
        <x:f>MIN(47,INT(B188*47)+1)</x:f>
        <x:v>45</x:v>
      </x:c>
      <x:c r="D188" t="n">
        <x:f>INDEX(Datos_47_semanas!$B$4:$B$50,C188)</x:f>
        <x:v>526</x:v>
      </x:c>
      <x:c r="E188" t="n">
        <x:f>MIN($B$4,D188)*$B$7+MAX($B$4-D188,0)*$B$9-$B$4*$B$8</x:f>
        <x:v>200</x:v>
      </x:c>
      <x:c r="F188" t="n">
        <x:f>MIN($B$5,D188)*$B$7+MAX($B$5-D188,0)*$B$9-$B$5*$B$8</x:f>
        <x:v>240</x:v>
      </x:c>
      <x:c r="G188" t="n">
        <x:f>MIN($B$6,D188)*$B$7+MAX($B$6-D188,0)*$B$9-$B$6*$B$8</x:f>
        <x:v>320</x:v>
      </x:c>
      <x:c r="H188" t="n">
        <x:f>MAX(D188-$B$5,0)</x:f>
        <x:v>226</x:v>
      </x:c>
      <x:c r="I188" t="n">
        <x:f>MAX($B$5-D188,0)</x:f>
        <x:v>0</x:v>
      </x:c>
    </x:row>
    <x:row r="189">
      <x:c r="A189" t="n">
        <x:f>177</x:f>
        <x:v>177</x:v>
      </x:c>
      <x:c r="B189" t="n">
        <x:f>RAND()</x:f>
        <x:v>0.8054887366856402</x:v>
      </x:c>
      <x:c r="C189" t="n">
        <x:f>MIN(47,INT(B189*47)+1)</x:f>
        <x:v>38</x:v>
      </x:c>
      <x:c r="D189" t="n">
        <x:f>INDEX(Datos_47_semanas!$B$4:$B$50,C189)</x:f>
        <x:v>212</x:v>
      </x:c>
      <x:c r="E189" t="n">
        <x:f>MIN($B$4,D189)*$B$7+MAX($B$4-D189,0)*$B$9-$B$4*$B$8</x:f>
        <x:v>148.69999999999993</x:v>
      </x:c>
      <x:c r="F189" t="n">
        <x:f>MIN($B$5,D189)*$B$7+MAX($B$5-D189,0)*$B$9-$B$5*$B$8</x:f>
        <x:v>121.19999999999993</x:v>
      </x:c>
      <x:c r="G189" t="n">
        <x:f>MIN($B$6,D189)*$B$7+MAX($B$6-D189,0)*$B$9-$B$6*$B$8</x:f>
        <x:v>66.19999999999993</x:v>
      </x:c>
      <x:c r="H189" t="n">
        <x:f>MAX(D189-$B$5,0)</x:f>
        <x:v>0</x:v>
      </x:c>
      <x:c r="I189" t="n">
        <x:f>MAX($B$5-D189,0)</x:f>
        <x:v>88</x:v>
      </x:c>
    </x:row>
    <x:row r="190">
      <x:c r="A190" t="n">
        <x:f>178</x:f>
        <x:v>178</x:v>
      </x:c>
      <x:c r="B190" t="n">
        <x:f>RAND()</x:f>
        <x:v>0.5870066947679768</x:v>
      </x:c>
      <x:c r="C190" t="n">
        <x:f>MIN(47,INT(B190*47)+1)</x:f>
        <x:v>28</x:v>
      </x:c>
      <x:c r="D190" t="n">
        <x:f>INDEX(Datos_47_semanas!$B$4:$B$50,C190)</x:f>
        <x:v>201</x:v>
      </x:c>
      <x:c r="E190" t="n">
        <x:f>MIN($B$4,D190)*$B$7+MAX($B$4-D190,0)*$B$9-$B$4*$B$8</x:f>
        <x:v>133.84999999999997</x:v>
      </x:c>
      <x:c r="F190" t="n">
        <x:f>MIN($B$5,D190)*$B$7+MAX($B$5-D190,0)*$B$9-$B$5*$B$8</x:f>
        <x:v>106.34999999999997</x:v>
      </x:c>
      <x:c r="G190" t="n">
        <x:f>MIN($B$6,D190)*$B$7+MAX($B$6-D190,0)*$B$9-$B$6*$B$8</x:f>
        <x:v>51.349999999999966</x:v>
      </x:c>
      <x:c r="H190" t="n">
        <x:f>MAX(D190-$B$5,0)</x:f>
        <x:v>0</x:v>
      </x:c>
      <x:c r="I190" t="n">
        <x:f>MAX($B$5-D190,0)</x:f>
        <x:v>99</x:v>
      </x:c>
    </x:row>
    <x:row r="191">
      <x:c r="A191" t="n">
        <x:f>179</x:f>
        <x:v>179</x:v>
      </x:c>
      <x:c r="B191" t="n">
        <x:f>RAND()</x:f>
        <x:v>0.5478515535961247</x:v>
      </x:c>
      <x:c r="C191" t="n">
        <x:f>MIN(47,INT(B191*47)+1)</x:f>
        <x:v>26</x:v>
      </x:c>
      <x:c r="D191" t="n">
        <x:f>INDEX(Datos_47_semanas!$B$4:$B$50,C191)</x:f>
        <x:v>183</x:v>
      </x:c>
      <x:c r="E191" t="n">
        <x:f>MIN($B$4,D191)*$B$7+MAX($B$4-D191,0)*$B$9-$B$4*$B$8</x:f>
        <x:v>109.55000000000001</x:v>
      </x:c>
      <x:c r="F191" t="n">
        <x:f>MIN($B$5,D191)*$B$7+MAX($B$5-D191,0)*$B$9-$B$5*$B$8</x:f>
        <x:v>82.05000000000001</x:v>
      </x:c>
      <x:c r="G191" t="n">
        <x:f>MIN($B$6,D191)*$B$7+MAX($B$6-D191,0)*$B$9-$B$6*$B$8</x:f>
        <x:v>27.049999999999955</x:v>
      </x:c>
      <x:c r="H191" t="n">
        <x:f>MAX(D191-$B$5,0)</x:f>
        <x:v>0</x:v>
      </x:c>
      <x:c r="I191" t="n">
        <x:f>MAX($B$5-D191,0)</x:f>
        <x:v>117</x:v>
      </x:c>
    </x:row>
    <x:row r="192">
      <x:c r="A192" t="n">
        <x:f>180</x:f>
        <x:v>180</x:v>
      </x:c>
      <x:c r="B192" t="n">
        <x:f>RAND()</x:f>
        <x:v>0.9651077462435572</x:v>
      </x:c>
      <x:c r="C192" t="n">
        <x:f>MIN(47,INT(B192*47)+1)</x:f>
        <x:v>46</x:v>
      </x:c>
      <x:c r="D192" t="n">
        <x:f>INDEX(Datos_47_semanas!$B$4:$B$50,C192)</x:f>
        <x:v>449</x:v>
      </x:c>
      <x:c r="E192" t="n">
        <x:f>MIN($B$4,D192)*$B$7+MAX($B$4-D192,0)*$B$9-$B$4*$B$8</x:f>
        <x:v>200</x:v>
      </x:c>
      <x:c r="F192" t="n">
        <x:f>MIN($B$5,D192)*$B$7+MAX($B$5-D192,0)*$B$9-$B$5*$B$8</x:f>
        <x:v>240</x:v>
      </x:c>
      <x:c r="G192" t="n">
        <x:f>MIN($B$6,D192)*$B$7+MAX($B$6-D192,0)*$B$9-$B$6*$B$8</x:f>
        <x:v>320</x:v>
      </x:c>
      <x:c r="H192" t="n">
        <x:f>MAX(D192-$B$5,0)</x:f>
        <x:v>149</x:v>
      </x:c>
      <x:c r="I192" t="n">
        <x:f>MAX($B$5-D192,0)</x:f>
        <x:v>0</x:v>
      </x:c>
    </x:row>
    <x:row r="193">
      <x:c r="A193" t="n">
        <x:f>181</x:f>
        <x:v>181</x:v>
      </x:c>
      <x:c r="B193" t="n">
        <x:f>RAND()</x:f>
        <x:v>0.5372485945150168</x:v>
      </x:c>
      <x:c r="C193" t="n">
        <x:f>MIN(47,INT(B193*47)+1)</x:f>
        <x:v>26</x:v>
      </x:c>
      <x:c r="D193" t="n">
        <x:f>INDEX(Datos_47_semanas!$B$4:$B$50,C193)</x:f>
        <x:v>183</x:v>
      </x:c>
      <x:c r="E193" t="n">
        <x:f>MIN($B$4,D193)*$B$7+MAX($B$4-D193,0)*$B$9-$B$4*$B$8</x:f>
        <x:v>109.55000000000001</x:v>
      </x:c>
      <x:c r="F193" t="n">
        <x:f>MIN($B$5,D193)*$B$7+MAX($B$5-D193,0)*$B$9-$B$5*$B$8</x:f>
        <x:v>82.05000000000001</x:v>
      </x:c>
      <x:c r="G193" t="n">
        <x:f>MIN($B$6,D193)*$B$7+MAX($B$6-D193,0)*$B$9-$B$6*$B$8</x:f>
        <x:v>27.049999999999955</x:v>
      </x:c>
      <x:c r="H193" t="n">
        <x:f>MAX(D193-$B$5,0)</x:f>
        <x:v>0</x:v>
      </x:c>
      <x:c r="I193" t="n">
        <x:f>MAX($B$5-D193,0)</x:f>
        <x:v>117</x:v>
      </x:c>
    </x:row>
    <x:row r="194">
      <x:c r="A194" t="n">
        <x:f>182</x:f>
        <x:v>182</x:v>
      </x:c>
      <x:c r="B194" t="n">
        <x:f>RAND()</x:f>
        <x:v>0.8911303463196468</x:v>
      </x:c>
      <x:c r="C194" t="n">
        <x:f>MIN(47,INT(B194*47)+1)</x:f>
        <x:v>42</x:v>
      </x:c>
      <x:c r="D194" t="n">
        <x:f>INDEX(Datos_47_semanas!$B$4:$B$50,C194)</x:f>
        <x:v>146</x:v>
      </x:c>
      <x:c r="E194" t="n">
        <x:f>MIN($B$4,D194)*$B$7+MAX($B$4-D194,0)*$B$9-$B$4*$B$8</x:f>
        <x:v>59.599999999999966</x:v>
      </x:c>
      <x:c r="F194" t="n">
        <x:f>MIN($B$5,D194)*$B$7+MAX($B$5-D194,0)*$B$9-$B$5*$B$8</x:f>
        <x:v>32.099999999999966</x:v>
      </x:c>
      <x:c r="G194" t="n">
        <x:f>MIN($B$6,D194)*$B$7+MAX($B$6-D194,0)*$B$9-$B$6*$B$8</x:f>
        <x:v>-22.900000000000034</x:v>
      </x:c>
      <x:c r="H194" t="n">
        <x:f>MAX(D194-$B$5,0)</x:f>
        <x:v>0</x:v>
      </x:c>
      <x:c r="I194" t="n">
        <x:f>MAX($B$5-D194,0)</x:f>
        <x:v>154</x:v>
      </x:c>
    </x:row>
    <x:row r="195">
      <x:c r="A195" t="n">
        <x:f>183</x:f>
        <x:v>183</x:v>
      </x:c>
      <x:c r="B195" t="n">
        <x:f>RAND()</x:f>
        <x:v>0.890823421426654</x:v>
      </x:c>
      <x:c r="C195" t="n">
        <x:f>MIN(47,INT(B195*47)+1)</x:f>
        <x:v>42</x:v>
      </x:c>
      <x:c r="D195" t="n">
        <x:f>INDEX(Datos_47_semanas!$B$4:$B$50,C195)</x:f>
        <x:v>146</x:v>
      </x:c>
      <x:c r="E195" t="n">
        <x:f>MIN($B$4,D195)*$B$7+MAX($B$4-D195,0)*$B$9-$B$4*$B$8</x:f>
        <x:v>59.599999999999966</x:v>
      </x:c>
      <x:c r="F195" t="n">
        <x:f>MIN($B$5,D195)*$B$7+MAX($B$5-D195,0)*$B$9-$B$5*$B$8</x:f>
        <x:v>32.099999999999966</x:v>
      </x:c>
      <x:c r="G195" t="n">
        <x:f>MIN($B$6,D195)*$B$7+MAX($B$6-D195,0)*$B$9-$B$6*$B$8</x:f>
        <x:v>-22.900000000000034</x:v>
      </x:c>
      <x:c r="H195" t="n">
        <x:f>MAX(D195-$B$5,0)</x:f>
        <x:v>0</x:v>
      </x:c>
      <x:c r="I195" t="n">
        <x:f>MAX($B$5-D195,0)</x:f>
        <x:v>154</x:v>
      </x:c>
    </x:row>
    <x:row r="196">
      <x:c r="A196" t="n">
        <x:f>184</x:f>
        <x:v>184</x:v>
      </x:c>
      <x:c r="B196" t="n">
        <x:f>RAND()</x:f>
        <x:v>0.906459833163158</x:v>
      </x:c>
      <x:c r="C196" t="n">
        <x:f>MIN(47,INT(B196*47)+1)</x:f>
        <x:v>43</x:v>
      </x:c>
      <x:c r="D196" t="n">
        <x:f>INDEX(Datos_47_semanas!$B$4:$B$50,C196)</x:f>
        <x:v>234</x:v>
      </x:c>
      <x:c r="E196" t="n">
        <x:f>MIN($B$4,D196)*$B$7+MAX($B$4-D196,0)*$B$9-$B$4*$B$8</x:f>
        <x:v>178.39999999999998</x:v>
      </x:c>
      <x:c r="F196" t="n">
        <x:f>MIN($B$5,D196)*$B$7+MAX($B$5-D196,0)*$B$9-$B$5*$B$8</x:f>
        <x:v>150.89999999999998</x:v>
      </x:c>
      <x:c r="G196" t="n">
        <x:f>MIN($B$6,D196)*$B$7+MAX($B$6-D196,0)*$B$9-$B$6*$B$8</x:f>
        <x:v>95.89999999999998</x:v>
      </x:c>
      <x:c r="H196" t="n">
        <x:f>MAX(D196-$B$5,0)</x:f>
        <x:v>0</x:v>
      </x:c>
      <x:c r="I196" t="n">
        <x:f>MAX($B$5-D196,0)</x:f>
        <x:v>66</x:v>
      </x:c>
    </x:row>
    <x:row r="197">
      <x:c r="A197" t="n">
        <x:f>185</x:f>
        <x:v>185</x:v>
      </x:c>
      <x:c r="B197" t="n">
        <x:f>RAND()</x:f>
        <x:v>0.083482994021572</x:v>
      </x:c>
      <x:c r="C197" t="n">
        <x:f>MIN(47,INT(B197*47)+1)</x:f>
        <x:v>4</x:v>
      </x:c>
      <x:c r="D197" t="n">
        <x:f>INDEX(Datos_47_semanas!$B$4:$B$50,C197)</x:f>
        <x:v>161</x:v>
      </x:c>
      <x:c r="E197" t="n">
        <x:f>MIN($B$4,D197)*$B$7+MAX($B$4-D197,0)*$B$9-$B$4*$B$8</x:f>
        <x:v>79.84999999999997</x:v>
      </x:c>
      <x:c r="F197" t="n">
        <x:f>MIN($B$5,D197)*$B$7+MAX($B$5-D197,0)*$B$9-$B$5*$B$8</x:f>
        <x:v>52.349999999999966</x:v>
      </x:c>
      <x:c r="G197" t="n">
        <x:f>MIN($B$6,D197)*$B$7+MAX($B$6-D197,0)*$B$9-$B$6*$B$8</x:f>
        <x:v>-2.650000000000034</x:v>
      </x:c>
      <x:c r="H197" t="n">
        <x:f>MAX(D197-$B$5,0)</x:f>
        <x:v>0</x:v>
      </x:c>
      <x:c r="I197" t="n">
        <x:f>MAX($B$5-D197,0)</x:f>
        <x:v>139</x:v>
      </x:c>
    </x:row>
    <x:row r="198">
      <x:c r="A198" t="n">
        <x:f>186</x:f>
        <x:v>186</x:v>
      </x:c>
      <x:c r="B198" t="n">
        <x:f>RAND()</x:f>
        <x:v>0.02424399957391954</x:v>
      </x:c>
      <x:c r="C198" t="n">
        <x:f>MIN(47,INT(B198*47)+1)</x:f>
        <x:v>2</x:v>
      </x:c>
      <x:c r="D198" t="n">
        <x:f>INDEX(Datos_47_semanas!$B$4:$B$50,C198)</x:f>
        <x:v>282</x:v>
      </x:c>
      <x:c r="E198" t="n">
        <x:f>MIN($B$4,D198)*$B$7+MAX($B$4-D198,0)*$B$9-$B$4*$B$8</x:f>
        <x:v>200</x:v>
      </x:c>
      <x:c r="F198" t="n">
        <x:f>MIN($B$5,D198)*$B$7+MAX($B$5-D198,0)*$B$9-$B$5*$B$8</x:f>
        <x:v>215.69999999999993</x:v>
      </x:c>
      <x:c r="G198" t="n">
        <x:f>MIN($B$6,D198)*$B$7+MAX($B$6-D198,0)*$B$9-$B$6*$B$8</x:f>
        <x:v>160.69999999999993</x:v>
      </x:c>
      <x:c r="H198" t="n">
        <x:f>MAX(D198-$B$5,0)</x:f>
        <x:v>0</x:v>
      </x:c>
      <x:c r="I198" t="n">
        <x:f>MAX($B$5-D198,0)</x:f>
        <x:v>18</x:v>
      </x:c>
    </x:row>
    <x:row r="199">
      <x:c r="A199" t="n">
        <x:f>187</x:f>
        <x:v>187</x:v>
      </x:c>
      <x:c r="B199" t="n">
        <x:f>RAND()</x:f>
        <x:v>0.6889424974248348</x:v>
      </x:c>
      <x:c r="C199" t="n">
        <x:f>MIN(47,INT(B199*47)+1)</x:f>
        <x:v>33</x:v>
      </x:c>
      <x:c r="D199" t="n">
        <x:f>INDEX(Datos_47_semanas!$B$4:$B$50,C199)</x:f>
        <x:v>373</x:v>
      </x:c>
      <x:c r="E199" t="n">
        <x:f>MIN($B$4,D199)*$B$7+MAX($B$4-D199,0)*$B$9-$B$4*$B$8</x:f>
        <x:v>200</x:v>
      </x:c>
      <x:c r="F199" t="n">
        <x:f>MIN($B$5,D199)*$B$7+MAX($B$5-D199,0)*$B$9-$B$5*$B$8</x:f>
        <x:v>240</x:v>
      </x:c>
      <x:c r="G199" t="n">
        <x:f>MIN($B$6,D199)*$B$7+MAX($B$6-D199,0)*$B$9-$B$6*$B$8</x:f>
        <x:v>283.54999999999995</x:v>
      </x:c>
      <x:c r="H199" t="n">
        <x:f>MAX(D199-$B$5,0)</x:f>
        <x:v>73</x:v>
      </x:c>
      <x:c r="I199" t="n">
        <x:f>MAX($B$5-D199,0)</x:f>
        <x:v>0</x:v>
      </x:c>
    </x:row>
    <x:row r="200">
      <x:c r="A200" t="n">
        <x:f>188</x:f>
        <x:v>188</x:v>
      </x:c>
      <x:c r="B200" t="n">
        <x:f>RAND()</x:f>
        <x:v>0.09773014379721812</x:v>
      </x:c>
      <x:c r="C200" t="n">
        <x:f>MIN(47,INT(B200*47)+1)</x:f>
        <x:v>5</x:v>
      </x:c>
      <x:c r="D200" t="n">
        <x:f>INDEX(Datos_47_semanas!$B$4:$B$50,C200)</x:f>
        <x:v>347</x:v>
      </x:c>
      <x:c r="E200" t="n">
        <x:f>MIN($B$4,D200)*$B$7+MAX($B$4-D200,0)*$B$9-$B$4*$B$8</x:f>
        <x:v>200</x:v>
      </x:c>
      <x:c r="F200" t="n">
        <x:f>MIN($B$5,D200)*$B$7+MAX($B$5-D200,0)*$B$9-$B$5*$B$8</x:f>
        <x:v>240</x:v>
      </x:c>
      <x:c r="G200" t="n">
        <x:f>MIN($B$6,D200)*$B$7+MAX($B$6-D200,0)*$B$9-$B$6*$B$8</x:f>
        <x:v>248.44999999999993</x:v>
      </x:c>
      <x:c r="H200" t="n">
        <x:f>MAX(D200-$B$5,0)</x:f>
        <x:v>47</x:v>
      </x:c>
      <x:c r="I200" t="n">
        <x:f>MAX($B$5-D200,0)</x:f>
        <x:v>0</x:v>
      </x:c>
    </x:row>
    <x:row r="201">
      <x:c r="A201" t="n">
        <x:f>189</x:f>
        <x:v>189</x:v>
      </x:c>
      <x:c r="B201" t="n">
        <x:f>RAND()</x:f>
        <x:v>0.8292890289278956</x:v>
      </x:c>
      <x:c r="C201" t="n">
        <x:f>MIN(47,INT(B201*47)+1)</x:f>
        <x:v>39</x:v>
      </x:c>
      <x:c r="D201" t="n">
        <x:f>INDEX(Datos_47_semanas!$B$4:$B$50,C201)</x:f>
        <x:v>228</x:v>
      </x:c>
      <x:c r="E201" t="n">
        <x:f>MIN($B$4,D201)*$B$7+MAX($B$4-D201,0)*$B$9-$B$4*$B$8</x:f>
        <x:v>170.3</x:v>
      </x:c>
      <x:c r="F201" t="n">
        <x:f>MIN($B$5,D201)*$B$7+MAX($B$5-D201,0)*$B$9-$B$5*$B$8</x:f>
        <x:v>142.8</x:v>
      </x:c>
      <x:c r="G201" t="n">
        <x:f>MIN($B$6,D201)*$B$7+MAX($B$6-D201,0)*$B$9-$B$6*$B$8</x:f>
        <x:v>87.80000000000001</x:v>
      </x:c>
      <x:c r="H201" t="n">
        <x:f>MAX(D201-$B$5,0)</x:f>
        <x:v>0</x:v>
      </x:c>
      <x:c r="I201" t="n">
        <x:f>MAX($B$5-D201,0)</x:f>
        <x:v>72</x:v>
      </x:c>
    </x:row>
    <x:row r="202">
      <x:c r="A202" t="n">
        <x:f>190</x:f>
        <x:v>190</x:v>
      </x:c>
      <x:c r="B202" t="n">
        <x:f>RAND()</x:f>
        <x:v>0.46780246706299866</x:v>
      </x:c>
      <x:c r="C202" t="n">
        <x:f>MIN(47,INT(B202*47)+1)</x:f>
        <x:v>22</x:v>
      </x:c>
      <x:c r="D202" t="n">
        <x:f>INDEX(Datos_47_semanas!$B$4:$B$50,C202)</x:f>
        <x:v>171</x:v>
      </x:c>
      <x:c r="E202" t="n">
        <x:f>MIN($B$4,D202)*$B$7+MAX($B$4-D202,0)*$B$9-$B$4*$B$8</x:f>
        <x:v>93.34999999999997</x:v>
      </x:c>
      <x:c r="F202" t="n">
        <x:f>MIN($B$5,D202)*$B$7+MAX($B$5-D202,0)*$B$9-$B$5*$B$8</x:f>
        <x:v>65.84999999999997</x:v>
      </x:c>
      <x:c r="G202" t="n">
        <x:f>MIN($B$6,D202)*$B$7+MAX($B$6-D202,0)*$B$9-$B$6*$B$8</x:f>
        <x:v>10.849999999999966</x:v>
      </x:c>
      <x:c r="H202" t="n">
        <x:f>MAX(D202-$B$5,0)</x:f>
        <x:v>0</x:v>
      </x:c>
      <x:c r="I202" t="n">
        <x:f>MAX($B$5-D202,0)</x:f>
        <x:v>129</x:v>
      </x:c>
    </x:row>
    <x:row r="203">
      <x:c r="A203" t="n">
        <x:f>191</x:f>
        <x:v>191</x:v>
      </x:c>
      <x:c r="B203" t="n">
        <x:f>RAND()</x:f>
        <x:v>0.9356355874862844</x:v>
      </x:c>
      <x:c r="C203" t="n">
        <x:f>MIN(47,INT(B203*47)+1)</x:f>
        <x:v>44</x:v>
      </x:c>
      <x:c r="D203" t="n">
        <x:f>INDEX(Datos_47_semanas!$B$4:$B$50,C203)</x:f>
        <x:v>223</x:v>
      </x:c>
      <x:c r="E203" t="n">
        <x:f>MIN($B$4,D203)*$B$7+MAX($B$4-D203,0)*$B$9-$B$4*$B$8</x:f>
        <x:v>163.55</x:v>
      </x:c>
      <x:c r="F203" t="n">
        <x:f>MIN($B$5,D203)*$B$7+MAX($B$5-D203,0)*$B$9-$B$5*$B$8</x:f>
        <x:v>136.05</x:v>
      </x:c>
      <x:c r="G203" t="n">
        <x:f>MIN($B$6,D203)*$B$7+MAX($B$6-D203,0)*$B$9-$B$6*$B$8</x:f>
        <x:v>81.05000000000001</x:v>
      </x:c>
      <x:c r="H203" t="n">
        <x:f>MAX(D203-$B$5,0)</x:f>
        <x:v>0</x:v>
      </x:c>
      <x:c r="I203" t="n">
        <x:f>MAX($B$5-D203,0)</x:f>
        <x:v>77</x:v>
      </x:c>
    </x:row>
    <x:row r="204">
      <x:c r="A204" t="n">
        <x:f>192</x:f>
        <x:v>192</x:v>
      </x:c>
      <x:c r="B204" t="n">
        <x:f>RAND()</x:f>
        <x:v>0.30376602919327733</x:v>
      </x:c>
      <x:c r="C204" t="n">
        <x:f>MIN(47,INT(B204*47)+1)</x:f>
        <x:v>15</x:v>
      </x:c>
      <x:c r="D204" t="n">
        <x:f>INDEX(Datos_47_semanas!$B$4:$B$50,C204)</x:f>
        <x:v>275</x:v>
      </x:c>
      <x:c r="E204" t="n">
        <x:f>MIN($B$4,D204)*$B$7+MAX($B$4-D204,0)*$B$9-$B$4*$B$8</x:f>
        <x:v>200</x:v>
      </x:c>
      <x:c r="F204" t="n">
        <x:f>MIN($B$5,D204)*$B$7+MAX($B$5-D204,0)*$B$9-$B$5*$B$8</x:f>
        <x:v>206.25</x:v>
      </x:c>
      <x:c r="G204" t="n">
        <x:f>MIN($B$6,D204)*$B$7+MAX($B$6-D204,0)*$B$9-$B$6*$B$8</x:f>
        <x:v>151.25</x:v>
      </x:c>
      <x:c r="H204" t="n">
        <x:f>MAX(D204-$B$5,0)</x:f>
        <x:v>0</x:v>
      </x:c>
      <x:c r="I204" t="n">
        <x:f>MAX($B$5-D204,0)</x:f>
        <x:v>25</x:v>
      </x:c>
    </x:row>
    <x:row r="205">
      <x:c r="A205" t="n">
        <x:f>193</x:f>
        <x:v>193</x:v>
      </x:c>
      <x:c r="B205" t="n">
        <x:f>RAND()</x:f>
        <x:v>0.29239714397545613</x:v>
      </x:c>
      <x:c r="C205" t="n">
        <x:f>MIN(47,INT(B205*47)+1)</x:f>
        <x:v>14</x:v>
      </x:c>
      <x:c r="D205" t="n">
        <x:f>INDEX(Datos_47_semanas!$B$4:$B$50,C205)</x:f>
        <x:v>187</x:v>
      </x:c>
      <x:c r="E205" t="n">
        <x:f>MIN($B$4,D205)*$B$7+MAX($B$4-D205,0)*$B$9-$B$4*$B$8</x:f>
        <x:v>114.94999999999999</x:v>
      </x:c>
      <x:c r="F205" t="n">
        <x:f>MIN($B$5,D205)*$B$7+MAX($B$5-D205,0)*$B$9-$B$5*$B$8</x:f>
        <x:v>87.44999999999999</x:v>
      </x:c>
      <x:c r="G205" t="n">
        <x:f>MIN($B$6,D205)*$B$7+MAX($B$6-D205,0)*$B$9-$B$6*$B$8</x:f>
        <x:v>32.44999999999999</x:v>
      </x:c>
      <x:c r="H205" t="n">
        <x:f>MAX(D205-$B$5,0)</x:f>
        <x:v>0</x:v>
      </x:c>
      <x:c r="I205" t="n">
        <x:f>MAX($B$5-D205,0)</x:f>
        <x:v>113</x:v>
      </x:c>
    </x:row>
    <x:row r="206">
      <x:c r="A206" t="n">
        <x:f>194</x:f>
        <x:v>194</x:v>
      </x:c>
      <x:c r="B206" t="n">
        <x:f>RAND()</x:f>
        <x:v>0.09525820701261345</x:v>
      </x:c>
      <x:c r="C206" t="n">
        <x:f>MIN(47,INT(B206*47)+1)</x:f>
        <x:v>5</x:v>
      </x:c>
      <x:c r="D206" t="n">
        <x:f>INDEX(Datos_47_semanas!$B$4:$B$50,C206)</x:f>
        <x:v>347</x:v>
      </x:c>
      <x:c r="E206" t="n">
        <x:f>MIN($B$4,D206)*$B$7+MAX($B$4-D206,0)*$B$9-$B$4*$B$8</x:f>
        <x:v>200</x:v>
      </x:c>
      <x:c r="F206" t="n">
        <x:f>MIN($B$5,D206)*$B$7+MAX($B$5-D206,0)*$B$9-$B$5*$B$8</x:f>
        <x:v>240</x:v>
      </x:c>
      <x:c r="G206" t="n">
        <x:f>MIN($B$6,D206)*$B$7+MAX($B$6-D206,0)*$B$9-$B$6*$B$8</x:f>
        <x:v>248.44999999999993</x:v>
      </x:c>
      <x:c r="H206" t="n">
        <x:f>MAX(D206-$B$5,0)</x:f>
        <x:v>47</x:v>
      </x:c>
      <x:c r="I206" t="n">
        <x:f>MAX($B$5-D206,0)</x:f>
        <x:v>0</x:v>
      </x:c>
    </x:row>
    <x:row r="207">
      <x:c r="A207" t="n">
        <x:f>195</x:f>
        <x:v>195</x:v>
      </x:c>
      <x:c r="B207" t="n">
        <x:f>RAND()</x:f>
        <x:v>0.19402818875481453</x:v>
      </x:c>
      <x:c r="C207" t="n">
        <x:f>MIN(47,INT(B207*47)+1)</x:f>
        <x:v>10</x:v>
      </x:c>
      <x:c r="D207" t="n">
        <x:f>INDEX(Datos_47_semanas!$B$4:$B$50,C207)</x:f>
        <x:v>98</x:v>
      </x:c>
      <x:c r="E207" t="n">
        <x:f>MIN($B$4,D207)*$B$7+MAX($B$4-D207,0)*$B$9-$B$4*$B$8</x:f>
        <x:v>-5.200000000000017</x:v>
      </x:c>
      <x:c r="F207" t="n">
        <x:f>MIN($B$5,D207)*$B$7+MAX($B$5-D207,0)*$B$9-$B$5*$B$8</x:f>
        <x:v>-32.70000000000002</x:v>
      </x:c>
      <x:c r="G207" t="n">
        <x:f>MIN($B$6,D207)*$B$7+MAX($B$6-D207,0)*$B$9-$B$6*$B$8</x:f>
        <x:v>-87.70000000000002</x:v>
      </x:c>
      <x:c r="H207" t="n">
        <x:f>MAX(D207-$B$5,0)</x:f>
        <x:v>0</x:v>
      </x:c>
      <x:c r="I207" t="n">
        <x:f>MAX($B$5-D207,0)</x:f>
        <x:v>202</x:v>
      </x:c>
    </x:row>
    <x:row r="208">
      <x:c r="A208" t="n">
        <x:f>196</x:f>
        <x:v>196</x:v>
      </x:c>
      <x:c r="B208" t="n">
        <x:f>RAND()</x:f>
        <x:v>0.4541866826912868</x:v>
      </x:c>
      <x:c r="C208" t="n">
        <x:f>MIN(47,INT(B208*47)+1)</x:f>
        <x:v>22</x:v>
      </x:c>
      <x:c r="D208" t="n">
        <x:f>INDEX(Datos_47_semanas!$B$4:$B$50,C208)</x:f>
        <x:v>171</x:v>
      </x:c>
      <x:c r="E208" t="n">
        <x:f>MIN($B$4,D208)*$B$7+MAX($B$4-D208,0)*$B$9-$B$4*$B$8</x:f>
        <x:v>93.34999999999997</x:v>
      </x:c>
      <x:c r="F208" t="n">
        <x:f>MIN($B$5,D208)*$B$7+MAX($B$5-D208,0)*$B$9-$B$5*$B$8</x:f>
        <x:v>65.84999999999997</x:v>
      </x:c>
      <x:c r="G208" t="n">
        <x:f>MIN($B$6,D208)*$B$7+MAX($B$6-D208,0)*$B$9-$B$6*$B$8</x:f>
        <x:v>10.849999999999966</x:v>
      </x:c>
      <x:c r="H208" t="n">
        <x:f>MAX(D208-$B$5,0)</x:f>
        <x:v>0</x:v>
      </x:c>
      <x:c r="I208" t="n">
        <x:f>MAX($B$5-D208,0)</x:f>
        <x:v>129</x:v>
      </x:c>
    </x:row>
    <x:row r="209">
      <x:c r="A209" t="n">
        <x:f>197</x:f>
        <x:v>197</x:v>
      </x:c>
      <x:c r="B209" t="n">
        <x:f>RAND()</x:f>
        <x:v>0.7862685021710869</x:v>
      </x:c>
      <x:c r="C209" t="n">
        <x:f>MIN(47,INT(B209*47)+1)</x:f>
        <x:v>37</x:v>
      </x:c>
      <x:c r="D209" t="n">
        <x:f>INDEX(Datos_47_semanas!$B$4:$B$50,C209)</x:f>
        <x:v>299</x:v>
      </x:c>
      <x:c r="E209" t="n">
        <x:f>MIN($B$4,D209)*$B$7+MAX($B$4-D209,0)*$B$9-$B$4*$B$8</x:f>
        <x:v>200</x:v>
      </x:c>
      <x:c r="F209" t="n">
        <x:f>MIN($B$5,D209)*$B$7+MAX($B$5-D209,0)*$B$9-$B$5*$B$8</x:f>
        <x:v>238.64999999999998</x:v>
      </x:c>
      <x:c r="G209" t="n">
        <x:f>MIN($B$6,D209)*$B$7+MAX($B$6-D209,0)*$B$9-$B$6*$B$8</x:f>
        <x:v>183.64999999999998</x:v>
      </x:c>
      <x:c r="H209" t="n">
        <x:f>MAX(D209-$B$5,0)</x:f>
        <x:v>0</x:v>
      </x:c>
      <x:c r="I209" t="n">
        <x:f>MAX($B$5-D209,0)</x:f>
        <x:v>1</x:v>
      </x:c>
    </x:row>
    <x:row r="210">
      <x:c r="A210" t="n">
        <x:f>198</x:f>
        <x:v>198</x:v>
      </x:c>
      <x:c r="B210" t="n">
        <x:f>RAND()</x:f>
        <x:v>0.41698895997197283</x:v>
      </x:c>
      <x:c r="C210" t="n">
        <x:f>MIN(47,INT(B210*47)+1)</x:f>
        <x:v>20</x:v>
      </x:c>
      <x:c r="D210" t="n">
        <x:f>INDEX(Datos_47_semanas!$B$4:$B$50,C210)</x:f>
        <x:v>335</x:v>
      </x:c>
      <x:c r="E210" t="n">
        <x:f>MIN($B$4,D210)*$B$7+MAX($B$4-D210,0)*$B$9-$B$4*$B$8</x:f>
        <x:v>200</x:v>
      </x:c>
      <x:c r="F210" t="n">
        <x:f>MIN($B$5,D210)*$B$7+MAX($B$5-D210,0)*$B$9-$B$5*$B$8</x:f>
        <x:v>240</x:v>
      </x:c>
      <x:c r="G210" t="n">
        <x:f>MIN($B$6,D210)*$B$7+MAX($B$6-D210,0)*$B$9-$B$6*$B$8</x:f>
        <x:v>232.25</x:v>
      </x:c>
      <x:c r="H210" t="n">
        <x:f>MAX(D210-$B$5,0)</x:f>
        <x:v>35</x:v>
      </x:c>
      <x:c r="I210" t="n">
        <x:f>MAX($B$5-D210,0)</x:f>
        <x:v>0</x:v>
      </x:c>
    </x:row>
    <x:row r="211">
      <x:c r="A211" t="n">
        <x:f>199</x:f>
        <x:v>199</x:v>
      </x:c>
      <x:c r="B211" t="n">
        <x:f>RAND()</x:f>
        <x:v>0.8836637970015884</x:v>
      </x:c>
      <x:c r="C211" t="n">
        <x:f>MIN(47,INT(B211*47)+1)</x:f>
        <x:v>42</x:v>
      </x:c>
      <x:c r="D211" t="n">
        <x:f>INDEX(Datos_47_semanas!$B$4:$B$50,C211)</x:f>
        <x:v>146</x:v>
      </x:c>
      <x:c r="E211" t="n">
        <x:f>MIN($B$4,D211)*$B$7+MAX($B$4-D211,0)*$B$9-$B$4*$B$8</x:f>
        <x:v>59.599999999999966</x:v>
      </x:c>
      <x:c r="F211" t="n">
        <x:f>MIN($B$5,D211)*$B$7+MAX($B$5-D211,0)*$B$9-$B$5*$B$8</x:f>
        <x:v>32.099999999999966</x:v>
      </x:c>
      <x:c r="G211" t="n">
        <x:f>MIN($B$6,D211)*$B$7+MAX($B$6-D211,0)*$B$9-$B$6*$B$8</x:f>
        <x:v>-22.900000000000034</x:v>
      </x:c>
      <x:c r="H211" t="n">
        <x:f>MAX(D211-$B$5,0)</x:f>
        <x:v>0</x:v>
      </x:c>
      <x:c r="I211" t="n">
        <x:f>MAX($B$5-D211,0)</x:f>
        <x:v>154</x:v>
      </x:c>
    </x:row>
    <x:row r="212">
      <x:c r="A212" t="n">
        <x:f>200</x:f>
        <x:v>200</x:v>
      </x:c>
      <x:c r="B212" t="n">
        <x:f>RAND()</x:f>
        <x:v>0.8982596413820425</x:v>
      </x:c>
      <x:c r="C212" t="n">
        <x:f>MIN(47,INT(B212*47)+1)</x:f>
        <x:v>43</x:v>
      </x:c>
      <x:c r="D212" t="n">
        <x:f>INDEX(Datos_47_semanas!$B$4:$B$50,C212)</x:f>
        <x:v>234</x:v>
      </x:c>
      <x:c r="E212" t="n">
        <x:f>MIN($B$4,D212)*$B$7+MAX($B$4-D212,0)*$B$9-$B$4*$B$8</x:f>
        <x:v>178.39999999999998</x:v>
      </x:c>
      <x:c r="F212" t="n">
        <x:f>MIN($B$5,D212)*$B$7+MAX($B$5-D212,0)*$B$9-$B$5*$B$8</x:f>
        <x:v>150.89999999999998</x:v>
      </x:c>
      <x:c r="G212" t="n">
        <x:f>MIN($B$6,D212)*$B$7+MAX($B$6-D212,0)*$B$9-$B$6*$B$8</x:f>
        <x:v>95.89999999999998</x:v>
      </x:c>
      <x:c r="H212" t="n">
        <x:f>MAX(D212-$B$5,0)</x:f>
        <x:v>0</x:v>
      </x:c>
      <x:c r="I212" t="n">
        <x:f>MAX($B$5-D212,0)</x:f>
        <x:v>66</x:v>
      </x:c>
    </x:row>
    <x:row r="213">
      <x:c r="A213" t="n">
        <x:f>201</x:f>
        <x:v>201</x:v>
      </x:c>
      <x:c r="B213" t="n">
        <x:f>RAND()</x:f>
        <x:v>0.9568286982481659</x:v>
      </x:c>
      <x:c r="C213" t="n">
        <x:f>MIN(47,INT(B213*47)+1)</x:f>
        <x:v>45</x:v>
      </x:c>
      <x:c r="D213" t="n">
        <x:f>INDEX(Datos_47_semanas!$B$4:$B$50,C213)</x:f>
        <x:v>526</x:v>
      </x:c>
      <x:c r="E213" t="n">
        <x:f>MIN($B$4,D213)*$B$7+MAX($B$4-D213,0)*$B$9-$B$4*$B$8</x:f>
        <x:v>200</x:v>
      </x:c>
      <x:c r="F213" t="n">
        <x:f>MIN($B$5,D213)*$B$7+MAX($B$5-D213,0)*$B$9-$B$5*$B$8</x:f>
        <x:v>240</x:v>
      </x:c>
      <x:c r="G213" t="n">
        <x:f>MIN($B$6,D213)*$B$7+MAX($B$6-D213,0)*$B$9-$B$6*$B$8</x:f>
        <x:v>320</x:v>
      </x:c>
      <x:c r="H213" t="n">
        <x:f>MAX(D213-$B$5,0)</x:f>
        <x:v>226</x:v>
      </x:c>
      <x:c r="I213" t="n">
        <x:f>MAX($B$5-D213,0)</x:f>
        <x:v>0</x:v>
      </x:c>
    </x:row>
    <x:row r="214">
      <x:c r="A214" t="n">
        <x:f>202</x:f>
        <x:v>202</x:v>
      </x:c>
      <x:c r="B214" t="n">
        <x:f>RAND()</x:f>
        <x:v>0.0753113897960368</x:v>
      </x:c>
      <x:c r="C214" t="n">
        <x:f>MIN(47,INT(B214*47)+1)</x:f>
        <x:v>4</x:v>
      </x:c>
      <x:c r="D214" t="n">
        <x:f>INDEX(Datos_47_semanas!$B$4:$B$50,C214)</x:f>
        <x:v>161</x:v>
      </x:c>
      <x:c r="E214" t="n">
        <x:f>MIN($B$4,D214)*$B$7+MAX($B$4-D214,0)*$B$9-$B$4*$B$8</x:f>
        <x:v>79.84999999999997</x:v>
      </x:c>
      <x:c r="F214" t="n">
        <x:f>MIN($B$5,D214)*$B$7+MAX($B$5-D214,0)*$B$9-$B$5*$B$8</x:f>
        <x:v>52.349999999999966</x:v>
      </x:c>
      <x:c r="G214" t="n">
        <x:f>MIN($B$6,D214)*$B$7+MAX($B$6-D214,0)*$B$9-$B$6*$B$8</x:f>
        <x:v>-2.650000000000034</x:v>
      </x:c>
      <x:c r="H214" t="n">
        <x:f>MAX(D214-$B$5,0)</x:f>
        <x:v>0</x:v>
      </x:c>
      <x:c r="I214" t="n">
        <x:f>MAX($B$5-D214,0)</x:f>
        <x:v>139</x:v>
      </x:c>
    </x:row>
    <x:row r="215">
      <x:c r="A215" t="n">
        <x:f>203</x:f>
        <x:v>203</x:v>
      </x:c>
      <x:c r="B215" t="n">
        <x:f>RAND()</x:f>
        <x:v>0.8657383878996321</x:v>
      </x:c>
      <x:c r="C215" t="n">
        <x:f>MIN(47,INT(B215*47)+1)</x:f>
        <x:v>41</x:v>
      </x:c>
      <x:c r="D215" t="n">
        <x:f>INDEX(Datos_47_semanas!$B$4:$B$50,C215)</x:f>
        <x:v>383</x:v>
      </x:c>
      <x:c r="E215" t="n">
        <x:f>MIN($B$4,D215)*$B$7+MAX($B$4-D215,0)*$B$9-$B$4*$B$8</x:f>
        <x:v>200</x:v>
      </x:c>
      <x:c r="F215" t="n">
        <x:f>MIN($B$5,D215)*$B$7+MAX($B$5-D215,0)*$B$9-$B$5*$B$8</x:f>
        <x:v>240</x:v>
      </x:c>
      <x:c r="G215" t="n">
        <x:f>MIN($B$6,D215)*$B$7+MAX($B$6-D215,0)*$B$9-$B$6*$B$8</x:f>
        <x:v>297.04999999999995</x:v>
      </x:c>
      <x:c r="H215" t="n">
        <x:f>MAX(D215-$B$5,0)</x:f>
        <x:v>83</x:v>
      </x:c>
      <x:c r="I215" t="n">
        <x:f>MAX($B$5-D215,0)</x:f>
        <x:v>0</x:v>
      </x:c>
    </x:row>
    <x:row r="216">
      <x:c r="A216" t="n">
        <x:f>204</x:f>
        <x:v>204</x:v>
      </x:c>
      <x:c r="B216" t="n">
        <x:f>RAND()</x:f>
        <x:v>0.07623500906957392</x:v>
      </x:c>
      <x:c r="C216" t="n">
        <x:f>MIN(47,INT(B216*47)+1)</x:f>
        <x:v>4</x:v>
      </x:c>
      <x:c r="D216" t="n">
        <x:f>INDEX(Datos_47_semanas!$B$4:$B$50,C216)</x:f>
        <x:v>161</x:v>
      </x:c>
      <x:c r="E216" t="n">
        <x:f>MIN($B$4,D216)*$B$7+MAX($B$4-D216,0)*$B$9-$B$4*$B$8</x:f>
        <x:v>79.84999999999997</x:v>
      </x:c>
      <x:c r="F216" t="n">
        <x:f>MIN($B$5,D216)*$B$7+MAX($B$5-D216,0)*$B$9-$B$5*$B$8</x:f>
        <x:v>52.349999999999966</x:v>
      </x:c>
      <x:c r="G216" t="n">
        <x:f>MIN($B$6,D216)*$B$7+MAX($B$6-D216,0)*$B$9-$B$6*$B$8</x:f>
        <x:v>-2.650000000000034</x:v>
      </x:c>
      <x:c r="H216" t="n">
        <x:f>MAX(D216-$B$5,0)</x:f>
        <x:v>0</x:v>
      </x:c>
      <x:c r="I216" t="n">
        <x:f>MAX($B$5-D216,0)</x:f>
        <x:v>139</x:v>
      </x:c>
    </x:row>
    <x:row r="217">
      <x:c r="A217" t="n">
        <x:f>205</x:f>
        <x:v>205</x:v>
      </x:c>
      <x:c r="B217" t="n">
        <x:f>RAND()</x:f>
        <x:v>0.31316718255616893</x:v>
      </x:c>
      <x:c r="C217" t="n">
        <x:f>MIN(47,INT(B217*47)+1)</x:f>
        <x:v>15</x:v>
      </x:c>
      <x:c r="D217" t="n">
        <x:f>INDEX(Datos_47_semanas!$B$4:$B$50,C217)</x:f>
        <x:v>275</x:v>
      </x:c>
      <x:c r="E217" t="n">
        <x:f>MIN($B$4,D217)*$B$7+MAX($B$4-D217,0)*$B$9-$B$4*$B$8</x:f>
        <x:v>200</x:v>
      </x:c>
      <x:c r="F217" t="n">
        <x:f>MIN($B$5,D217)*$B$7+MAX($B$5-D217,0)*$B$9-$B$5*$B$8</x:f>
        <x:v>206.25</x:v>
      </x:c>
      <x:c r="G217" t="n">
        <x:f>MIN($B$6,D217)*$B$7+MAX($B$6-D217,0)*$B$9-$B$6*$B$8</x:f>
        <x:v>151.25</x:v>
      </x:c>
      <x:c r="H217" t="n">
        <x:f>MAX(D217-$B$5,0)</x:f>
        <x:v>0</x:v>
      </x:c>
      <x:c r="I217" t="n">
        <x:f>MAX($B$5-D217,0)</x:f>
        <x:v>25</x:v>
      </x:c>
    </x:row>
    <x:row r="218">
      <x:c r="A218" t="n">
        <x:f>206</x:f>
        <x:v>206</x:v>
      </x:c>
      <x:c r="B218" t="n">
        <x:f>RAND()</x:f>
        <x:v>0.7324029410041833</x:v>
      </x:c>
      <x:c r="C218" t="n">
        <x:f>MIN(47,INT(B218*47)+1)</x:f>
        <x:v>35</x:v>
      </x:c>
      <x:c r="D218" t="n">
        <x:f>INDEX(Datos_47_semanas!$B$4:$B$50,C218)</x:f>
        <x:v>192</x:v>
      </x:c>
      <x:c r="E218" t="n">
        <x:f>MIN($B$4,D218)*$B$7+MAX($B$4-D218,0)*$B$9-$B$4*$B$8</x:f>
        <x:v>121.69999999999993</x:v>
      </x:c>
      <x:c r="F218" t="n">
        <x:f>MIN($B$5,D218)*$B$7+MAX($B$5-D218,0)*$B$9-$B$5*$B$8</x:f>
        <x:v>94.19999999999993</x:v>
      </x:c>
      <x:c r="G218" t="n">
        <x:f>MIN($B$6,D218)*$B$7+MAX($B$6-D218,0)*$B$9-$B$6*$B$8</x:f>
        <x:v>39.19999999999993</x:v>
      </x:c>
      <x:c r="H218" t="n">
        <x:f>MAX(D218-$B$5,0)</x:f>
        <x:v>0</x:v>
      </x:c>
      <x:c r="I218" t="n">
        <x:f>MAX($B$5-D218,0)</x:f>
        <x:v>108</x:v>
      </x:c>
    </x:row>
    <x:row r="219">
      <x:c r="A219" t="n">
        <x:f>207</x:f>
        <x:v>207</x:v>
      </x:c>
      <x:c r="B219" t="n">
        <x:f>RAND()</x:f>
        <x:v>0.21284712654393623</x:v>
      </x:c>
      <x:c r="C219" t="n">
        <x:f>MIN(47,INT(B219*47)+1)</x:f>
        <x:v>11</x:v>
      </x:c>
      <x:c r="D219" t="n">
        <x:f>INDEX(Datos_47_semanas!$B$4:$B$50,C219)</x:f>
        <x:v>268</x:v>
      </x:c>
      <x:c r="E219" t="n">
        <x:f>MIN($B$4,D219)*$B$7+MAX($B$4-D219,0)*$B$9-$B$4*$B$8</x:f>
        <x:v>200</x:v>
      </x:c>
      <x:c r="F219" t="n">
        <x:f>MIN($B$5,D219)*$B$7+MAX($B$5-D219,0)*$B$9-$B$5*$B$8</x:f>
        <x:v>196.8</x:v>
      </x:c>
      <x:c r="G219" t="n">
        <x:f>MIN($B$6,D219)*$B$7+MAX($B$6-D219,0)*$B$9-$B$6*$B$8</x:f>
        <x:v>141.8</x:v>
      </x:c>
      <x:c r="H219" t="n">
        <x:f>MAX(D219-$B$5,0)</x:f>
        <x:v>0</x:v>
      </x:c>
      <x:c r="I219" t="n">
        <x:f>MAX($B$5-D219,0)</x:f>
        <x:v>32</x:v>
      </x:c>
    </x:row>
    <x:row r="220">
      <x:c r="A220" t="n">
        <x:f>208</x:f>
        <x:v>208</x:v>
      </x:c>
      <x:c r="B220" t="n">
        <x:f>RAND()</x:f>
        <x:v>0.7889251295275681</x:v>
      </x:c>
      <x:c r="C220" t="n">
        <x:f>MIN(47,INT(B220*47)+1)</x:f>
        <x:v>38</x:v>
      </x:c>
      <x:c r="D220" t="n">
        <x:f>INDEX(Datos_47_semanas!$B$4:$B$50,C220)</x:f>
        <x:v>212</x:v>
      </x:c>
      <x:c r="E220" t="n">
        <x:f>MIN($B$4,D220)*$B$7+MAX($B$4-D220,0)*$B$9-$B$4*$B$8</x:f>
        <x:v>148.69999999999993</x:v>
      </x:c>
      <x:c r="F220" t="n">
        <x:f>MIN($B$5,D220)*$B$7+MAX($B$5-D220,0)*$B$9-$B$5*$B$8</x:f>
        <x:v>121.19999999999993</x:v>
      </x:c>
      <x:c r="G220" t="n">
        <x:f>MIN($B$6,D220)*$B$7+MAX($B$6-D220,0)*$B$9-$B$6*$B$8</x:f>
        <x:v>66.19999999999993</x:v>
      </x:c>
      <x:c r="H220" t="n">
        <x:f>MAX(D220-$B$5,0)</x:f>
        <x:v>0</x:v>
      </x:c>
      <x:c r="I220" t="n">
        <x:f>MAX($B$5-D220,0)</x:f>
        <x:v>88</x:v>
      </x:c>
    </x:row>
    <x:row r="221">
      <x:c r="A221" t="n">
        <x:f>209</x:f>
        <x:v>209</x:v>
      </x:c>
      <x:c r="B221" t="n">
        <x:f>RAND()</x:f>
        <x:v>0.9442393489862012</x:v>
      </x:c>
      <x:c r="C221" t="n">
        <x:f>MIN(47,INT(B221*47)+1)</x:f>
        <x:v>45</x:v>
      </x:c>
      <x:c r="D221" t="n">
        <x:f>INDEX(Datos_47_semanas!$B$4:$B$50,C221)</x:f>
        <x:v>526</x:v>
      </x:c>
      <x:c r="E221" t="n">
        <x:f>MIN($B$4,D221)*$B$7+MAX($B$4-D221,0)*$B$9-$B$4*$B$8</x:f>
        <x:v>200</x:v>
      </x:c>
      <x:c r="F221" t="n">
        <x:f>MIN($B$5,D221)*$B$7+MAX($B$5-D221,0)*$B$9-$B$5*$B$8</x:f>
        <x:v>240</x:v>
      </x:c>
      <x:c r="G221" t="n">
        <x:f>MIN($B$6,D221)*$B$7+MAX($B$6-D221,0)*$B$9-$B$6*$B$8</x:f>
        <x:v>320</x:v>
      </x:c>
      <x:c r="H221" t="n">
        <x:f>MAX(D221-$B$5,0)</x:f>
        <x:v>226</x:v>
      </x:c>
      <x:c r="I221" t="n">
        <x:f>MAX($B$5-D221,0)</x:f>
        <x:v>0</x:v>
      </x:c>
    </x:row>
    <x:row r="222">
      <x:c r="A222" t="n">
        <x:f>210</x:f>
        <x:v>210</x:v>
      </x:c>
      <x:c r="B222" t="n">
        <x:f>RAND()</x:f>
        <x:v>0.7370128613695197</x:v>
      </x:c>
      <x:c r="C222" t="n">
        <x:f>MIN(47,INT(B222*47)+1)</x:f>
        <x:v>35</x:v>
      </x:c>
      <x:c r="D222" t="n">
        <x:f>INDEX(Datos_47_semanas!$B$4:$B$50,C222)</x:f>
        <x:v>192</x:v>
      </x:c>
      <x:c r="E222" t="n">
        <x:f>MIN($B$4,D222)*$B$7+MAX($B$4-D222,0)*$B$9-$B$4*$B$8</x:f>
        <x:v>121.69999999999993</x:v>
      </x:c>
      <x:c r="F222" t="n">
        <x:f>MIN($B$5,D222)*$B$7+MAX($B$5-D222,0)*$B$9-$B$5*$B$8</x:f>
        <x:v>94.19999999999993</x:v>
      </x:c>
      <x:c r="G222" t="n">
        <x:f>MIN($B$6,D222)*$B$7+MAX($B$6-D222,0)*$B$9-$B$6*$B$8</x:f>
        <x:v>39.19999999999993</x:v>
      </x:c>
      <x:c r="H222" t="n">
        <x:f>MAX(D222-$B$5,0)</x:f>
        <x:v>0</x:v>
      </x:c>
      <x:c r="I222" t="n">
        <x:f>MAX($B$5-D222,0)</x:f>
        <x:v>108</x:v>
      </x:c>
    </x:row>
    <x:row r="223">
      <x:c r="A223" t="n">
        <x:f>211</x:f>
        <x:v>211</x:v>
      </x:c>
      <x:c r="B223" t="n">
        <x:f>RAND()</x:f>
        <x:v>0.5211352587642387</x:v>
      </x:c>
      <x:c r="C223" t="n">
        <x:f>MIN(47,INT(B223*47)+1)</x:f>
        <x:v>25</x:v>
      </x:c>
      <x:c r="D223" t="n">
        <x:f>INDEX(Datos_47_semanas!$B$4:$B$50,C223)</x:f>
        <x:v>218</x:v>
      </x:c>
      <x:c r="E223" t="n">
        <x:f>MIN($B$4,D223)*$B$7+MAX($B$4-D223,0)*$B$9-$B$4*$B$8</x:f>
        <x:v>156.8</x:v>
      </x:c>
      <x:c r="F223" t="n">
        <x:f>MIN($B$5,D223)*$B$7+MAX($B$5-D223,0)*$B$9-$B$5*$B$8</x:f>
        <x:v>129.3</x:v>
      </x:c>
      <x:c r="G223" t="n">
        <x:f>MIN($B$6,D223)*$B$7+MAX($B$6-D223,0)*$B$9-$B$6*$B$8</x:f>
        <x:v>74.30000000000001</x:v>
      </x:c>
      <x:c r="H223" t="n">
        <x:f>MAX(D223-$B$5,0)</x:f>
        <x:v>0</x:v>
      </x:c>
      <x:c r="I223" t="n">
        <x:f>MAX($B$5-D223,0)</x:f>
        <x:v>82</x:v>
      </x:c>
    </x:row>
    <x:row r="224">
      <x:c r="A224" t="n">
        <x:f>212</x:f>
        <x:v>212</x:v>
      </x:c>
      <x:c r="B224" t="n">
        <x:f>RAND()</x:f>
        <x:v>0.7712555193004339</x:v>
      </x:c>
      <x:c r="C224" t="n">
        <x:f>MIN(47,INT(B224*47)+1)</x:f>
        <x:v>37</x:v>
      </x:c>
      <x:c r="D224" t="n">
        <x:f>INDEX(Datos_47_semanas!$B$4:$B$50,C224)</x:f>
        <x:v>299</x:v>
      </x:c>
      <x:c r="E224" t="n">
        <x:f>MIN($B$4,D224)*$B$7+MAX($B$4-D224,0)*$B$9-$B$4*$B$8</x:f>
        <x:v>200</x:v>
      </x:c>
      <x:c r="F224" t="n">
        <x:f>MIN($B$5,D224)*$B$7+MAX($B$5-D224,0)*$B$9-$B$5*$B$8</x:f>
        <x:v>238.64999999999998</x:v>
      </x:c>
      <x:c r="G224" t="n">
        <x:f>MIN($B$6,D224)*$B$7+MAX($B$6-D224,0)*$B$9-$B$6*$B$8</x:f>
        <x:v>183.64999999999998</x:v>
      </x:c>
      <x:c r="H224" t="n">
        <x:f>MAX(D224-$B$5,0)</x:f>
        <x:v>0</x:v>
      </x:c>
      <x:c r="I224" t="n">
        <x:f>MAX($B$5-D224,0)</x:f>
        <x:v>1</x:v>
      </x:c>
    </x:row>
    <x:row r="225">
      <x:c r="A225" t="n">
        <x:f>213</x:f>
        <x:v>213</x:v>
      </x:c>
      <x:c r="B225" t="n">
        <x:f>RAND()</x:f>
        <x:v>0.6515960769672385</x:v>
      </x:c>
      <x:c r="C225" t="n">
        <x:f>MIN(47,INT(B225*47)+1)</x:f>
        <x:v>31</x:v>
      </x:c>
      <x:c r="D225" t="n">
        <x:f>INDEX(Datos_47_semanas!$B$4:$B$50,C225)</x:f>
        <x:v>583</x:v>
      </x:c>
      <x:c r="E225" t="n">
        <x:f>MIN($B$4,D225)*$B$7+MAX($B$4-D225,0)*$B$9-$B$4*$B$8</x:f>
        <x:v>200</x:v>
      </x:c>
      <x:c r="F225" t="n">
        <x:f>MIN($B$5,D225)*$B$7+MAX($B$5-D225,0)*$B$9-$B$5*$B$8</x:f>
        <x:v>240</x:v>
      </x:c>
      <x:c r="G225" t="n">
        <x:f>MIN($B$6,D225)*$B$7+MAX($B$6-D225,0)*$B$9-$B$6*$B$8</x:f>
        <x:v>320</x:v>
      </x:c>
      <x:c r="H225" t="n">
        <x:f>MAX(D225-$B$5,0)</x:f>
        <x:v>283</x:v>
      </x:c>
      <x:c r="I225" t="n">
        <x:f>MAX($B$5-D225,0)</x:f>
        <x:v>0</x:v>
      </x:c>
    </x:row>
    <x:row r="226">
      <x:c r="A226" t="n">
        <x:f>214</x:f>
        <x:v>214</x:v>
      </x:c>
      <x:c r="B226" t="n">
        <x:f>RAND()</x:f>
        <x:v>0.699912822195993</x:v>
      </x:c>
      <x:c r="C226" t="n">
        <x:f>MIN(47,INT(B226*47)+1)</x:f>
        <x:v>33</x:v>
      </x:c>
      <x:c r="D226" t="n">
        <x:f>INDEX(Datos_47_semanas!$B$4:$B$50,C226)</x:f>
        <x:v>373</x:v>
      </x:c>
      <x:c r="E226" t="n">
        <x:f>MIN($B$4,D226)*$B$7+MAX($B$4-D226,0)*$B$9-$B$4*$B$8</x:f>
        <x:v>200</x:v>
      </x:c>
      <x:c r="F226" t="n">
        <x:f>MIN($B$5,D226)*$B$7+MAX($B$5-D226,0)*$B$9-$B$5*$B$8</x:f>
        <x:v>240</x:v>
      </x:c>
      <x:c r="G226" t="n">
        <x:f>MIN($B$6,D226)*$B$7+MAX($B$6-D226,0)*$B$9-$B$6*$B$8</x:f>
        <x:v>283.54999999999995</x:v>
      </x:c>
      <x:c r="H226" t="n">
        <x:f>MAX(D226-$B$5,0)</x:f>
        <x:v>73</x:v>
      </x:c>
      <x:c r="I226" t="n">
        <x:f>MAX($B$5-D226,0)</x:f>
        <x:v>0</x:v>
      </x:c>
    </x:row>
    <x:row r="227">
      <x:c r="A227" t="n">
        <x:f>215</x:f>
        <x:v>215</x:v>
      </x:c>
      <x:c r="B227" t="n">
        <x:f>RAND()</x:f>
        <x:v>0.6181524475615646</x:v>
      </x:c>
      <x:c r="C227" t="n">
        <x:f>MIN(47,INT(B227*47)+1)</x:f>
        <x:v>30</x:v>
      </x:c>
      <x:c r="D227" t="n">
        <x:f>INDEX(Datos_47_semanas!$B$4:$B$50,C227)</x:f>
        <x:v>345</x:v>
      </x:c>
      <x:c r="E227" t="n">
        <x:f>MIN($B$4,D227)*$B$7+MAX($B$4-D227,0)*$B$9-$B$4*$B$8</x:f>
        <x:v>200</x:v>
      </x:c>
      <x:c r="F227" t="n">
        <x:f>MIN($B$5,D227)*$B$7+MAX($B$5-D227,0)*$B$9-$B$5*$B$8</x:f>
        <x:v>240</x:v>
      </x:c>
      <x:c r="G227" t="n">
        <x:f>MIN($B$6,D227)*$B$7+MAX($B$6-D227,0)*$B$9-$B$6*$B$8</x:f>
        <x:v>245.75</x:v>
      </x:c>
      <x:c r="H227" t="n">
        <x:f>MAX(D227-$B$5,0)</x:f>
        <x:v>45</x:v>
      </x:c>
      <x:c r="I227" t="n">
        <x:f>MAX($B$5-D227,0)</x:f>
        <x:v>0</x:v>
      </x:c>
    </x:row>
    <x:row r="228">
      <x:c r="A228" t="n">
        <x:f>216</x:f>
        <x:v>216</x:v>
      </x:c>
      <x:c r="B228" t="n">
        <x:f>RAND()</x:f>
        <x:v>0.5174140830972037</x:v>
      </x:c>
      <x:c r="C228" t="n">
        <x:f>MIN(47,INT(B228*47)+1)</x:f>
        <x:v>25</x:v>
      </x:c>
      <x:c r="D228" t="n">
        <x:f>INDEX(Datos_47_semanas!$B$4:$B$50,C228)</x:f>
        <x:v>218</x:v>
      </x:c>
      <x:c r="E228" t="n">
        <x:f>MIN($B$4,D228)*$B$7+MAX($B$4-D228,0)*$B$9-$B$4*$B$8</x:f>
        <x:v>156.8</x:v>
      </x:c>
      <x:c r="F228" t="n">
        <x:f>MIN($B$5,D228)*$B$7+MAX($B$5-D228,0)*$B$9-$B$5*$B$8</x:f>
        <x:v>129.3</x:v>
      </x:c>
      <x:c r="G228" t="n">
        <x:f>MIN($B$6,D228)*$B$7+MAX($B$6-D228,0)*$B$9-$B$6*$B$8</x:f>
        <x:v>74.30000000000001</x:v>
      </x:c>
      <x:c r="H228" t="n">
        <x:f>MAX(D228-$B$5,0)</x:f>
        <x:v>0</x:v>
      </x:c>
      <x:c r="I228" t="n">
        <x:f>MAX($B$5-D228,0)</x:f>
        <x:v>82</x:v>
      </x:c>
    </x:row>
    <x:row r="229">
      <x:c r="A229" t="n">
        <x:f>217</x:f>
        <x:v>217</x:v>
      </x:c>
      <x:c r="B229" t="n">
        <x:f>RAND()</x:f>
        <x:v>0.059381728227808184</x:v>
      </x:c>
      <x:c r="C229" t="n">
        <x:f>MIN(47,INT(B229*47)+1)</x:f>
        <x:v>3</x:v>
      </x:c>
      <x:c r="D229" t="n">
        <x:f>INDEX(Datos_47_semanas!$B$4:$B$50,C229)</x:f>
        <x:v>128</x:v>
      </x:c>
      <x:c r="E229" t="n">
        <x:f>MIN($B$4,D229)*$B$7+MAX($B$4-D229,0)*$B$9-$B$4*$B$8</x:f>
        <x:v>35.29999999999998</x:v>
      </x:c>
      <x:c r="F229" t="n">
        <x:f>MIN($B$5,D229)*$B$7+MAX($B$5-D229,0)*$B$9-$B$5*$B$8</x:f>
        <x:v>7.800000000000011</x:v>
      </x:c>
      <x:c r="G229" t="n">
        <x:f>MIN($B$6,D229)*$B$7+MAX($B$6-D229,0)*$B$9-$B$6*$B$8</x:f>
        <x:v>-47.200000000000045</x:v>
      </x:c>
      <x:c r="H229" t="n">
        <x:f>MAX(D229-$B$5,0)</x:f>
        <x:v>0</x:v>
      </x:c>
      <x:c r="I229" t="n">
        <x:f>MAX($B$5-D229,0)</x:f>
        <x:v>172</x:v>
      </x:c>
    </x:row>
    <x:row r="230">
      <x:c r="A230" t="n">
        <x:f>218</x:f>
        <x:v>218</x:v>
      </x:c>
      <x:c r="B230" t="n">
        <x:f>RAND()</x:f>
        <x:v>0.6290134206033686</x:v>
      </x:c>
      <x:c r="C230" t="n">
        <x:f>MIN(47,INT(B230*47)+1)</x:f>
        <x:v>30</x:v>
      </x:c>
      <x:c r="D230" t="n">
        <x:f>INDEX(Datos_47_semanas!$B$4:$B$50,C230)</x:f>
        <x:v>345</x:v>
      </x:c>
      <x:c r="E230" t="n">
        <x:f>MIN($B$4,D230)*$B$7+MAX($B$4-D230,0)*$B$9-$B$4*$B$8</x:f>
        <x:v>200</x:v>
      </x:c>
      <x:c r="F230" t="n">
        <x:f>MIN($B$5,D230)*$B$7+MAX($B$5-D230,0)*$B$9-$B$5*$B$8</x:f>
        <x:v>240</x:v>
      </x:c>
      <x:c r="G230" t="n">
        <x:f>MIN($B$6,D230)*$B$7+MAX($B$6-D230,0)*$B$9-$B$6*$B$8</x:f>
        <x:v>245.75</x:v>
      </x:c>
      <x:c r="H230" t="n">
        <x:f>MAX(D230-$B$5,0)</x:f>
        <x:v>45</x:v>
      </x:c>
      <x:c r="I230" t="n">
        <x:f>MAX($B$5-D230,0)</x:f>
        <x:v>0</x:v>
      </x:c>
    </x:row>
    <x:row r="231">
      <x:c r="A231" t="n">
        <x:f>219</x:f>
        <x:v>219</x:v>
      </x:c>
      <x:c r="B231" t="n">
        <x:f>RAND()</x:f>
        <x:v>0.5476461196983058</x:v>
      </x:c>
      <x:c r="C231" t="n">
        <x:f>MIN(47,INT(B231*47)+1)</x:f>
        <x:v>26</x:v>
      </x:c>
      <x:c r="D231" t="n">
        <x:f>INDEX(Datos_47_semanas!$B$4:$B$50,C231)</x:f>
        <x:v>183</x:v>
      </x:c>
      <x:c r="E231" t="n">
        <x:f>MIN($B$4,D231)*$B$7+MAX($B$4-D231,0)*$B$9-$B$4*$B$8</x:f>
        <x:v>109.55000000000001</x:v>
      </x:c>
      <x:c r="F231" t="n">
        <x:f>MIN($B$5,D231)*$B$7+MAX($B$5-D231,0)*$B$9-$B$5*$B$8</x:f>
        <x:v>82.05000000000001</x:v>
      </x:c>
      <x:c r="G231" t="n">
        <x:f>MIN($B$6,D231)*$B$7+MAX($B$6-D231,0)*$B$9-$B$6*$B$8</x:f>
        <x:v>27.049999999999955</x:v>
      </x:c>
      <x:c r="H231" t="n">
        <x:f>MAX(D231-$B$5,0)</x:f>
        <x:v>0</x:v>
      </x:c>
      <x:c r="I231" t="n">
        <x:f>MAX($B$5-D231,0)</x:f>
        <x:v>117</x:v>
      </x:c>
    </x:row>
    <x:row r="232">
      <x:c r="A232" t="n">
        <x:f>220</x:f>
        <x:v>220</x:v>
      </x:c>
      <x:c r="B232" t="n">
        <x:f>RAND()</x:f>
        <x:v>0.9276868927635702</x:v>
      </x:c>
      <x:c r="C232" t="n">
        <x:f>MIN(47,INT(B232*47)+1)</x:f>
        <x:v>44</x:v>
      </x:c>
      <x:c r="D232" t="n">
        <x:f>INDEX(Datos_47_semanas!$B$4:$B$50,C232)</x:f>
        <x:v>223</x:v>
      </x:c>
      <x:c r="E232" t="n">
        <x:f>MIN($B$4,D232)*$B$7+MAX($B$4-D232,0)*$B$9-$B$4*$B$8</x:f>
        <x:v>163.55</x:v>
      </x:c>
      <x:c r="F232" t="n">
        <x:f>MIN($B$5,D232)*$B$7+MAX($B$5-D232,0)*$B$9-$B$5*$B$8</x:f>
        <x:v>136.05</x:v>
      </x:c>
      <x:c r="G232" t="n">
        <x:f>MIN($B$6,D232)*$B$7+MAX($B$6-D232,0)*$B$9-$B$6*$B$8</x:f>
        <x:v>81.05000000000001</x:v>
      </x:c>
      <x:c r="H232" t="n">
        <x:f>MAX(D232-$B$5,0)</x:f>
        <x:v>0</x:v>
      </x:c>
      <x:c r="I232" t="n">
        <x:f>MAX($B$5-D232,0)</x:f>
        <x:v>77</x:v>
      </x:c>
    </x:row>
    <x:row r="233">
      <x:c r="A233" t="n">
        <x:f>221</x:f>
        <x:v>221</x:v>
      </x:c>
      <x:c r="B233" t="n">
        <x:f>RAND()</x:f>
        <x:v>0.5443097479125775</x:v>
      </x:c>
      <x:c r="C233" t="n">
        <x:f>MIN(47,INT(B233*47)+1)</x:f>
        <x:v>26</x:v>
      </x:c>
      <x:c r="D233" t="n">
        <x:f>INDEX(Datos_47_semanas!$B$4:$B$50,C233)</x:f>
        <x:v>183</x:v>
      </x:c>
      <x:c r="E233" t="n">
        <x:f>MIN($B$4,D233)*$B$7+MAX($B$4-D233,0)*$B$9-$B$4*$B$8</x:f>
        <x:v>109.55000000000001</x:v>
      </x:c>
      <x:c r="F233" t="n">
        <x:f>MIN($B$5,D233)*$B$7+MAX($B$5-D233,0)*$B$9-$B$5*$B$8</x:f>
        <x:v>82.05000000000001</x:v>
      </x:c>
      <x:c r="G233" t="n">
        <x:f>MIN($B$6,D233)*$B$7+MAX($B$6-D233,0)*$B$9-$B$6*$B$8</x:f>
        <x:v>27.049999999999955</x:v>
      </x:c>
      <x:c r="H233" t="n">
        <x:f>MAX(D233-$B$5,0)</x:f>
        <x:v>0</x:v>
      </x:c>
      <x:c r="I233" t="n">
        <x:f>MAX($B$5-D233,0)</x:f>
        <x:v>117</x:v>
      </x:c>
    </x:row>
    <x:row r="234">
      <x:c r="A234" t="n">
        <x:f>222</x:f>
        <x:v>222</x:v>
      </x:c>
      <x:c r="B234" t="n">
        <x:f>RAND()</x:f>
        <x:v>0.8602308305763566</x:v>
      </x:c>
      <x:c r="C234" t="n">
        <x:f>MIN(47,INT(B234*47)+1)</x:f>
        <x:v>41</x:v>
      </x:c>
      <x:c r="D234" t="n">
        <x:f>INDEX(Datos_47_semanas!$B$4:$B$50,C234)</x:f>
        <x:v>383</x:v>
      </x:c>
      <x:c r="E234" t="n">
        <x:f>MIN($B$4,D234)*$B$7+MAX($B$4-D234,0)*$B$9-$B$4*$B$8</x:f>
        <x:v>200</x:v>
      </x:c>
      <x:c r="F234" t="n">
        <x:f>MIN($B$5,D234)*$B$7+MAX($B$5-D234,0)*$B$9-$B$5*$B$8</x:f>
        <x:v>240</x:v>
      </x:c>
      <x:c r="G234" t="n">
        <x:f>MIN($B$6,D234)*$B$7+MAX($B$6-D234,0)*$B$9-$B$6*$B$8</x:f>
        <x:v>297.04999999999995</x:v>
      </x:c>
      <x:c r="H234" t="n">
        <x:f>MAX(D234-$B$5,0)</x:f>
        <x:v>83</x:v>
      </x:c>
      <x:c r="I234" t="n">
        <x:f>MAX($B$5-D234,0)</x:f>
        <x:v>0</x:v>
      </x:c>
    </x:row>
    <x:row r="235">
      <x:c r="A235" t="n">
        <x:f>223</x:f>
        <x:v>223</x:v>
      </x:c>
      <x:c r="B235" t="n">
        <x:f>RAND()</x:f>
        <x:v>0.4271627657749526</x:v>
      </x:c>
      <x:c r="C235" t="n">
        <x:f>MIN(47,INT(B235*47)+1)</x:f>
        <x:v>21</x:v>
      </x:c>
      <x:c r="D235" t="n">
        <x:f>INDEX(Datos_47_semanas!$B$4:$B$50,C235)</x:f>
        <x:v>424</x:v>
      </x:c>
      <x:c r="E235" t="n">
        <x:f>MIN($B$4,D235)*$B$7+MAX($B$4-D235,0)*$B$9-$B$4*$B$8</x:f>
        <x:v>200</x:v>
      </x:c>
      <x:c r="F235" t="n">
        <x:f>MIN($B$5,D235)*$B$7+MAX($B$5-D235,0)*$B$9-$B$5*$B$8</x:f>
        <x:v>240</x:v>
      </x:c>
      <x:c r="G235" t="n">
        <x:f>MIN($B$6,D235)*$B$7+MAX($B$6-D235,0)*$B$9-$B$6*$B$8</x:f>
        <x:v>320</x:v>
      </x:c>
      <x:c r="H235" t="n">
        <x:f>MAX(D235-$B$5,0)</x:f>
        <x:v>124</x:v>
      </x:c>
      <x:c r="I235" t="n">
        <x:f>MAX($B$5-D235,0)</x:f>
        <x:v>0</x:v>
      </x:c>
    </x:row>
    <x:row r="236">
      <x:c r="A236" t="n">
        <x:f>224</x:f>
        <x:v>224</x:v>
      </x:c>
      <x:c r="B236" t="n">
        <x:f>RAND()</x:f>
        <x:v>0.7942859773753823</x:v>
      </x:c>
      <x:c r="C236" t="n">
        <x:f>MIN(47,INT(B236*47)+1)</x:f>
        <x:v>38</x:v>
      </x:c>
      <x:c r="D236" t="n">
        <x:f>INDEX(Datos_47_semanas!$B$4:$B$50,C236)</x:f>
        <x:v>212</x:v>
      </x:c>
      <x:c r="E236" t="n">
        <x:f>MIN($B$4,D236)*$B$7+MAX($B$4-D236,0)*$B$9-$B$4*$B$8</x:f>
        <x:v>148.69999999999993</x:v>
      </x:c>
      <x:c r="F236" t="n">
        <x:f>MIN($B$5,D236)*$B$7+MAX($B$5-D236,0)*$B$9-$B$5*$B$8</x:f>
        <x:v>121.19999999999993</x:v>
      </x:c>
      <x:c r="G236" t="n">
        <x:f>MIN($B$6,D236)*$B$7+MAX($B$6-D236,0)*$B$9-$B$6*$B$8</x:f>
        <x:v>66.19999999999993</x:v>
      </x:c>
      <x:c r="H236" t="n">
        <x:f>MAX(D236-$B$5,0)</x:f>
        <x:v>0</x:v>
      </x:c>
      <x:c r="I236" t="n">
        <x:f>MAX($B$5-D236,0)</x:f>
        <x:v>88</x:v>
      </x:c>
    </x:row>
    <x:row r="237">
      <x:c r="A237" t="n">
        <x:f>225</x:f>
        <x:v>225</x:v>
      </x:c>
      <x:c r="B237" t="n">
        <x:f>RAND()</x:f>
        <x:v>0.2880034060749739</x:v>
      </x:c>
      <x:c r="C237" t="n">
        <x:f>MIN(47,INT(B237*47)+1)</x:f>
        <x:v>14</x:v>
      </x:c>
      <x:c r="D237" t="n">
        <x:f>INDEX(Datos_47_semanas!$B$4:$B$50,C237)</x:f>
        <x:v>187</x:v>
      </x:c>
      <x:c r="E237" t="n">
        <x:f>MIN($B$4,D237)*$B$7+MAX($B$4-D237,0)*$B$9-$B$4*$B$8</x:f>
        <x:v>114.94999999999999</x:v>
      </x:c>
      <x:c r="F237" t="n">
        <x:f>MIN($B$5,D237)*$B$7+MAX($B$5-D237,0)*$B$9-$B$5*$B$8</x:f>
        <x:v>87.44999999999999</x:v>
      </x:c>
      <x:c r="G237" t="n">
        <x:f>MIN($B$6,D237)*$B$7+MAX($B$6-D237,0)*$B$9-$B$6*$B$8</x:f>
        <x:v>32.44999999999999</x:v>
      </x:c>
      <x:c r="H237" t="n">
        <x:f>MAX(D237-$B$5,0)</x:f>
        <x:v>0</x:v>
      </x:c>
      <x:c r="I237" t="n">
        <x:f>MAX($B$5-D237,0)</x:f>
        <x:v>113</x:v>
      </x:c>
    </x:row>
    <x:row r="238">
      <x:c r="A238" t="n">
        <x:f>226</x:f>
        <x:v>226</x:v>
      </x:c>
      <x:c r="B238" t="n">
        <x:f>RAND()</x:f>
        <x:v>0.7888001750299233</x:v>
      </x:c>
      <x:c r="C238" t="n">
        <x:f>MIN(47,INT(B238*47)+1)</x:f>
        <x:v>38</x:v>
      </x:c>
      <x:c r="D238" t="n">
        <x:f>INDEX(Datos_47_semanas!$B$4:$B$50,C238)</x:f>
        <x:v>212</x:v>
      </x:c>
      <x:c r="E238" t="n">
        <x:f>MIN($B$4,D238)*$B$7+MAX($B$4-D238,0)*$B$9-$B$4*$B$8</x:f>
        <x:v>148.69999999999993</x:v>
      </x:c>
      <x:c r="F238" t="n">
        <x:f>MIN($B$5,D238)*$B$7+MAX($B$5-D238,0)*$B$9-$B$5*$B$8</x:f>
        <x:v>121.19999999999993</x:v>
      </x:c>
      <x:c r="G238" t="n">
        <x:f>MIN($B$6,D238)*$B$7+MAX($B$6-D238,0)*$B$9-$B$6*$B$8</x:f>
        <x:v>66.19999999999993</x:v>
      </x:c>
      <x:c r="H238" t="n">
        <x:f>MAX(D238-$B$5,0)</x:f>
        <x:v>0</x:v>
      </x:c>
      <x:c r="I238" t="n">
        <x:f>MAX($B$5-D238,0)</x:f>
        <x:v>88</x:v>
      </x:c>
    </x:row>
    <x:row r="239">
      <x:c r="A239" t="n">
        <x:f>227</x:f>
        <x:v>227</x:v>
      </x:c>
      <x:c r="B239" t="n">
        <x:f>RAND()</x:f>
        <x:v>0.8172088358954049</x:v>
      </x:c>
      <x:c r="C239" t="n">
        <x:f>MIN(47,INT(B239*47)+1)</x:f>
        <x:v>39</x:v>
      </x:c>
      <x:c r="D239" t="n">
        <x:f>INDEX(Datos_47_semanas!$B$4:$B$50,C239)</x:f>
        <x:v>228</x:v>
      </x:c>
      <x:c r="E239" t="n">
        <x:f>MIN($B$4,D239)*$B$7+MAX($B$4-D239,0)*$B$9-$B$4*$B$8</x:f>
        <x:v>170.3</x:v>
      </x:c>
      <x:c r="F239" t="n">
        <x:f>MIN($B$5,D239)*$B$7+MAX($B$5-D239,0)*$B$9-$B$5*$B$8</x:f>
        <x:v>142.8</x:v>
      </x:c>
      <x:c r="G239" t="n">
        <x:f>MIN($B$6,D239)*$B$7+MAX($B$6-D239,0)*$B$9-$B$6*$B$8</x:f>
        <x:v>87.80000000000001</x:v>
      </x:c>
      <x:c r="H239" t="n">
        <x:f>MAX(D239-$B$5,0)</x:f>
        <x:v>0</x:v>
      </x:c>
      <x:c r="I239" t="n">
        <x:f>MAX($B$5-D239,0)</x:f>
        <x:v>72</x:v>
      </x:c>
    </x:row>
    <x:row r="240">
      <x:c r="A240" t="n">
        <x:f>228</x:f>
        <x:v>228</x:v>
      </x:c>
      <x:c r="B240" t="n">
        <x:f>RAND()</x:f>
        <x:v>0.46149998530242453</x:v>
      </x:c>
      <x:c r="C240" t="n">
        <x:f>MIN(47,INT(B240*47)+1)</x:f>
        <x:v>22</x:v>
      </x:c>
      <x:c r="D240" t="n">
        <x:f>INDEX(Datos_47_semanas!$B$4:$B$50,C240)</x:f>
        <x:v>171</x:v>
      </x:c>
      <x:c r="E240" t="n">
        <x:f>MIN($B$4,D240)*$B$7+MAX($B$4-D240,0)*$B$9-$B$4*$B$8</x:f>
        <x:v>93.34999999999997</x:v>
      </x:c>
      <x:c r="F240" t="n">
        <x:f>MIN($B$5,D240)*$B$7+MAX($B$5-D240,0)*$B$9-$B$5*$B$8</x:f>
        <x:v>65.84999999999997</x:v>
      </x:c>
      <x:c r="G240" t="n">
        <x:f>MIN($B$6,D240)*$B$7+MAX($B$6-D240,0)*$B$9-$B$6*$B$8</x:f>
        <x:v>10.849999999999966</x:v>
      </x:c>
      <x:c r="H240" t="n">
        <x:f>MAX(D240-$B$5,0)</x:f>
        <x:v>0</x:v>
      </x:c>
      <x:c r="I240" t="n">
        <x:f>MAX($B$5-D240,0)</x:f>
        <x:v>129</x:v>
      </x:c>
    </x:row>
    <x:row r="241">
      <x:c r="A241" t="n">
        <x:f>229</x:f>
        <x:v>229</x:v>
      </x:c>
      <x:c r="B241" t="n">
        <x:f>RAND()</x:f>
        <x:v>0.25214753324839523</x:v>
      </x:c>
      <x:c r="C241" t="n">
        <x:f>MIN(47,INT(B241*47)+1)</x:f>
        <x:v>12</x:v>
      </x:c>
      <x:c r="D241" t="n">
        <x:f>INDEX(Datos_47_semanas!$B$4:$B$50,C241)</x:f>
        <x:v>336</x:v>
      </x:c>
      <x:c r="E241" t="n">
        <x:f>MIN($B$4,D241)*$B$7+MAX($B$4-D241,0)*$B$9-$B$4*$B$8</x:f>
        <x:v>200</x:v>
      </x:c>
      <x:c r="F241" t="n">
        <x:f>MIN($B$5,D241)*$B$7+MAX($B$5-D241,0)*$B$9-$B$5*$B$8</x:f>
        <x:v>240</x:v>
      </x:c>
      <x:c r="G241" t="n">
        <x:f>MIN($B$6,D241)*$B$7+MAX($B$6-D241,0)*$B$9-$B$6*$B$8</x:f>
        <x:v>233.60000000000002</x:v>
      </x:c>
      <x:c r="H241" t="n">
        <x:f>MAX(D241-$B$5,0)</x:f>
        <x:v>36</x:v>
      </x:c>
      <x:c r="I241" t="n">
        <x:f>MAX($B$5-D241,0)</x:f>
        <x:v>0</x:v>
      </x:c>
    </x:row>
    <x:row r="242">
      <x:c r="A242" t="n">
        <x:f>230</x:f>
        <x:v>230</x:v>
      </x:c>
      <x:c r="B242" t="n">
        <x:f>RAND()</x:f>
        <x:v>0.3180523422814515</x:v>
      </x:c>
      <x:c r="C242" t="n">
        <x:f>MIN(47,INT(B242*47)+1)</x:f>
        <x:v>15</x:v>
      </x:c>
      <x:c r="D242" t="n">
        <x:f>INDEX(Datos_47_semanas!$B$4:$B$50,C242)</x:f>
        <x:v>275</x:v>
      </x:c>
      <x:c r="E242" t="n">
        <x:f>MIN($B$4,D242)*$B$7+MAX($B$4-D242,0)*$B$9-$B$4*$B$8</x:f>
        <x:v>200</x:v>
      </x:c>
      <x:c r="F242" t="n">
        <x:f>MIN($B$5,D242)*$B$7+MAX($B$5-D242,0)*$B$9-$B$5*$B$8</x:f>
        <x:v>206.25</x:v>
      </x:c>
      <x:c r="G242" t="n">
        <x:f>MIN($B$6,D242)*$B$7+MAX($B$6-D242,0)*$B$9-$B$6*$B$8</x:f>
        <x:v>151.25</x:v>
      </x:c>
      <x:c r="H242" t="n">
        <x:f>MAX(D242-$B$5,0)</x:f>
        <x:v>0</x:v>
      </x:c>
      <x:c r="I242" t="n">
        <x:f>MAX($B$5-D242,0)</x:f>
        <x:v>25</x:v>
      </x:c>
    </x:row>
    <x:row r="243">
      <x:c r="A243" t="n">
        <x:f>231</x:f>
        <x:v>231</x:v>
      </x:c>
      <x:c r="B243" t="n">
        <x:f>RAND()</x:f>
        <x:v>0.711515060201005</x:v>
      </x:c>
      <x:c r="C243" t="n">
        <x:f>MIN(47,INT(B243*47)+1)</x:f>
        <x:v>34</x:v>
      </x:c>
      <x:c r="D243" t="n">
        <x:f>INDEX(Datos_47_semanas!$B$4:$B$50,C243)</x:f>
        <x:v>281</x:v>
      </x:c>
      <x:c r="E243" t="n">
        <x:f>MIN($B$4,D243)*$B$7+MAX($B$4-D243,0)*$B$9-$B$4*$B$8</x:f>
        <x:v>200</x:v>
      </x:c>
      <x:c r="F243" t="n">
        <x:f>MIN($B$5,D243)*$B$7+MAX($B$5-D243,0)*$B$9-$B$5*$B$8</x:f>
        <x:v>214.34999999999997</x:v>
      </x:c>
      <x:c r="G243" t="n">
        <x:f>MIN($B$6,D243)*$B$7+MAX($B$6-D243,0)*$B$9-$B$6*$B$8</x:f>
        <x:v>159.34999999999997</x:v>
      </x:c>
      <x:c r="H243" t="n">
        <x:f>MAX(D243-$B$5,0)</x:f>
        <x:v>0</x:v>
      </x:c>
      <x:c r="I243" t="n">
        <x:f>MAX($B$5-D243,0)</x:f>
        <x:v>19</x:v>
      </x:c>
    </x:row>
    <x:row r="244">
      <x:c r="A244" t="n">
        <x:f>232</x:f>
        <x:v>232</x:v>
      </x:c>
      <x:c r="B244" t="n">
        <x:f>RAND()</x:f>
        <x:v>0.7229603601349741</x:v>
      </x:c>
      <x:c r="C244" t="n">
        <x:f>MIN(47,INT(B244*47)+1)</x:f>
        <x:v>34</x:v>
      </x:c>
      <x:c r="D244" t="n">
        <x:f>INDEX(Datos_47_semanas!$B$4:$B$50,C244)</x:f>
        <x:v>281</x:v>
      </x:c>
      <x:c r="E244" t="n">
        <x:f>MIN($B$4,D244)*$B$7+MAX($B$4-D244,0)*$B$9-$B$4*$B$8</x:f>
        <x:v>200</x:v>
      </x:c>
      <x:c r="F244" t="n">
        <x:f>MIN($B$5,D244)*$B$7+MAX($B$5-D244,0)*$B$9-$B$5*$B$8</x:f>
        <x:v>214.34999999999997</x:v>
      </x:c>
      <x:c r="G244" t="n">
        <x:f>MIN($B$6,D244)*$B$7+MAX($B$6-D244,0)*$B$9-$B$6*$B$8</x:f>
        <x:v>159.34999999999997</x:v>
      </x:c>
      <x:c r="H244" t="n">
        <x:f>MAX(D244-$B$5,0)</x:f>
        <x:v>0</x:v>
      </x:c>
      <x:c r="I244" t="n">
        <x:f>MAX($B$5-D244,0)</x:f>
        <x:v>19</x:v>
      </x:c>
    </x:row>
    <x:row r="245">
      <x:c r="A245" t="n">
        <x:f>233</x:f>
        <x:v>233</x:v>
      </x:c>
      <x:c r="B245" t="n">
        <x:f>RAND()</x:f>
        <x:v>0.2945348725282608</x:v>
      </x:c>
      <x:c r="C245" t="n">
        <x:f>MIN(47,INT(B245*47)+1)</x:f>
        <x:v>14</x:v>
      </x:c>
      <x:c r="D245" t="n">
        <x:f>INDEX(Datos_47_semanas!$B$4:$B$50,C245)</x:f>
        <x:v>187</x:v>
      </x:c>
      <x:c r="E245" t="n">
        <x:f>MIN($B$4,D245)*$B$7+MAX($B$4-D245,0)*$B$9-$B$4*$B$8</x:f>
        <x:v>114.94999999999999</x:v>
      </x:c>
      <x:c r="F245" t="n">
        <x:f>MIN($B$5,D245)*$B$7+MAX($B$5-D245,0)*$B$9-$B$5*$B$8</x:f>
        <x:v>87.44999999999999</x:v>
      </x:c>
      <x:c r="G245" t="n">
        <x:f>MIN($B$6,D245)*$B$7+MAX($B$6-D245,0)*$B$9-$B$6*$B$8</x:f>
        <x:v>32.44999999999999</x:v>
      </x:c>
      <x:c r="H245" t="n">
        <x:f>MAX(D245-$B$5,0)</x:f>
        <x:v>0</x:v>
      </x:c>
      <x:c r="I245" t="n">
        <x:f>MAX($B$5-D245,0)</x:f>
        <x:v>113</x:v>
      </x:c>
    </x:row>
    <x:row r="246">
      <x:c r="A246" t="n">
        <x:f>234</x:f>
        <x:v>234</x:v>
      </x:c>
      <x:c r="B246" t="n">
        <x:f>RAND()</x:f>
        <x:v>0.974030743125057</x:v>
      </x:c>
      <x:c r="C246" t="n">
        <x:f>MIN(47,INT(B246*47)+1)</x:f>
        <x:v>46</x:v>
      </x:c>
      <x:c r="D246" t="n">
        <x:f>INDEX(Datos_47_semanas!$B$4:$B$50,C246)</x:f>
        <x:v>449</x:v>
      </x:c>
      <x:c r="E246" t="n">
        <x:f>MIN($B$4,D246)*$B$7+MAX($B$4-D246,0)*$B$9-$B$4*$B$8</x:f>
        <x:v>200</x:v>
      </x:c>
      <x:c r="F246" t="n">
        <x:f>MIN($B$5,D246)*$B$7+MAX($B$5-D246,0)*$B$9-$B$5*$B$8</x:f>
        <x:v>240</x:v>
      </x:c>
      <x:c r="G246" t="n">
        <x:f>MIN($B$6,D246)*$B$7+MAX($B$6-D246,0)*$B$9-$B$6*$B$8</x:f>
        <x:v>320</x:v>
      </x:c>
      <x:c r="H246" t="n">
        <x:f>MAX(D246-$B$5,0)</x:f>
        <x:v>149</x:v>
      </x:c>
      <x:c r="I246" t="n">
        <x:f>MAX($B$5-D246,0)</x:f>
        <x:v>0</x:v>
      </x:c>
    </x:row>
    <x:row r="247">
      <x:c r="A247" t="n">
        <x:f>235</x:f>
        <x:v>235</x:v>
      </x:c>
      <x:c r="B247" t="n">
        <x:f>RAND()</x:f>
        <x:v>0.08514660091456594</x:v>
      </x:c>
      <x:c r="C247" t="n">
        <x:f>MIN(47,INT(B247*47)+1)</x:f>
        <x:v>5</x:v>
      </x:c>
      <x:c r="D247" t="n">
        <x:f>INDEX(Datos_47_semanas!$B$4:$B$50,C247)</x:f>
        <x:v>347</x:v>
      </x:c>
      <x:c r="E247" t="n">
        <x:f>MIN($B$4,D247)*$B$7+MAX($B$4-D247,0)*$B$9-$B$4*$B$8</x:f>
        <x:v>200</x:v>
      </x:c>
      <x:c r="F247" t="n">
        <x:f>MIN($B$5,D247)*$B$7+MAX($B$5-D247,0)*$B$9-$B$5*$B$8</x:f>
        <x:v>240</x:v>
      </x:c>
      <x:c r="G247" t="n">
        <x:f>MIN($B$6,D247)*$B$7+MAX($B$6-D247,0)*$B$9-$B$6*$B$8</x:f>
        <x:v>248.44999999999993</x:v>
      </x:c>
      <x:c r="H247" t="n">
        <x:f>MAX(D247-$B$5,0)</x:f>
        <x:v>47</x:v>
      </x:c>
      <x:c r="I247" t="n">
        <x:f>MAX($B$5-D247,0)</x:f>
        <x:v>0</x:v>
      </x:c>
    </x:row>
    <x:row r="248">
      <x:c r="A248" t="n">
        <x:f>236</x:f>
        <x:v>236</x:v>
      </x:c>
      <x:c r="B248" t="n">
        <x:f>RAND()</x:f>
        <x:v>0.4445938175883076</x:v>
      </x:c>
      <x:c r="C248" t="n">
        <x:f>MIN(47,INT(B248*47)+1)</x:f>
        <x:v>21</x:v>
      </x:c>
      <x:c r="D248" t="n">
        <x:f>INDEX(Datos_47_semanas!$B$4:$B$50,C248)</x:f>
        <x:v>424</x:v>
      </x:c>
      <x:c r="E248" t="n">
        <x:f>MIN($B$4,D248)*$B$7+MAX($B$4-D248,0)*$B$9-$B$4*$B$8</x:f>
        <x:v>200</x:v>
      </x:c>
      <x:c r="F248" t="n">
        <x:f>MIN($B$5,D248)*$B$7+MAX($B$5-D248,0)*$B$9-$B$5*$B$8</x:f>
        <x:v>240</x:v>
      </x:c>
      <x:c r="G248" t="n">
        <x:f>MIN($B$6,D248)*$B$7+MAX($B$6-D248,0)*$B$9-$B$6*$B$8</x:f>
        <x:v>320</x:v>
      </x:c>
      <x:c r="H248" t="n">
        <x:f>MAX(D248-$B$5,0)</x:f>
        <x:v>124</x:v>
      </x:c>
      <x:c r="I248" t="n">
        <x:f>MAX($B$5-D248,0)</x:f>
        <x:v>0</x:v>
      </x:c>
    </x:row>
    <x:row r="249">
      <x:c r="A249" t="n">
        <x:f>237</x:f>
        <x:v>237</x:v>
      </x:c>
      <x:c r="B249" t="n">
        <x:f>RAND()</x:f>
        <x:v>0.28268089902890037</x:v>
      </x:c>
      <x:c r="C249" t="n">
        <x:f>MIN(47,INT(B249*47)+1)</x:f>
        <x:v>14</x:v>
      </x:c>
      <x:c r="D249" t="n">
        <x:f>INDEX(Datos_47_semanas!$B$4:$B$50,C249)</x:f>
        <x:v>187</x:v>
      </x:c>
      <x:c r="E249" t="n">
        <x:f>MIN($B$4,D249)*$B$7+MAX($B$4-D249,0)*$B$9-$B$4*$B$8</x:f>
        <x:v>114.94999999999999</x:v>
      </x:c>
      <x:c r="F249" t="n">
        <x:f>MIN($B$5,D249)*$B$7+MAX($B$5-D249,0)*$B$9-$B$5*$B$8</x:f>
        <x:v>87.44999999999999</x:v>
      </x:c>
      <x:c r="G249" t="n">
        <x:f>MIN($B$6,D249)*$B$7+MAX($B$6-D249,0)*$B$9-$B$6*$B$8</x:f>
        <x:v>32.44999999999999</x:v>
      </x:c>
      <x:c r="H249" t="n">
        <x:f>MAX(D249-$B$5,0)</x:f>
        <x:v>0</x:v>
      </x:c>
      <x:c r="I249" t="n">
        <x:f>MAX($B$5-D249,0)</x:f>
        <x:v>113</x:v>
      </x:c>
    </x:row>
    <x:row r="250">
      <x:c r="A250" t="n">
        <x:f>238</x:f>
        <x:v>238</x:v>
      </x:c>
      <x:c r="B250" t="n">
        <x:f>RAND()</x:f>
        <x:v>0.09240914655505428</x:v>
      </x:c>
      <x:c r="C250" t="n">
        <x:f>MIN(47,INT(B250*47)+1)</x:f>
        <x:v>5</x:v>
      </x:c>
      <x:c r="D250" t="n">
        <x:f>INDEX(Datos_47_semanas!$B$4:$B$50,C250)</x:f>
        <x:v>347</x:v>
      </x:c>
      <x:c r="E250" t="n">
        <x:f>MIN($B$4,D250)*$B$7+MAX($B$4-D250,0)*$B$9-$B$4*$B$8</x:f>
        <x:v>200</x:v>
      </x:c>
      <x:c r="F250" t="n">
        <x:f>MIN($B$5,D250)*$B$7+MAX($B$5-D250,0)*$B$9-$B$5*$B$8</x:f>
        <x:v>240</x:v>
      </x:c>
      <x:c r="G250" t="n">
        <x:f>MIN($B$6,D250)*$B$7+MAX($B$6-D250,0)*$B$9-$B$6*$B$8</x:f>
        <x:v>248.44999999999993</x:v>
      </x:c>
      <x:c r="H250" t="n">
        <x:f>MAX(D250-$B$5,0)</x:f>
        <x:v>47</x:v>
      </x:c>
      <x:c r="I250" t="n">
        <x:f>MAX($B$5-D250,0)</x:f>
        <x:v>0</x:v>
      </x:c>
    </x:row>
    <x:row r="251">
      <x:c r="A251" t="n">
        <x:f>239</x:f>
        <x:v>239</x:v>
      </x:c>
      <x:c r="B251" t="n">
        <x:f>RAND()</x:f>
        <x:v>0.564144711006136</x:v>
      </x:c>
      <x:c r="C251" t="n">
        <x:f>MIN(47,INT(B251*47)+1)</x:f>
        <x:v>27</x:v>
      </x:c>
      <x:c r="D251" t="n">
        <x:f>INDEX(Datos_47_semanas!$B$4:$B$50,C251)</x:f>
        <x:v>293</x:v>
      </x:c>
      <x:c r="E251" t="n">
        <x:f>MIN($B$4,D251)*$B$7+MAX($B$4-D251,0)*$B$9-$B$4*$B$8</x:f>
        <x:v>200</x:v>
      </x:c>
      <x:c r="F251" t="n">
        <x:f>MIN($B$5,D251)*$B$7+MAX($B$5-D251,0)*$B$9-$B$5*$B$8</x:f>
        <x:v>230.55</x:v>
      </x:c>
      <x:c r="G251" t="n">
        <x:f>MIN($B$6,D251)*$B$7+MAX($B$6-D251,0)*$B$9-$B$6*$B$8</x:f>
        <x:v>175.54999999999995</x:v>
      </x:c>
      <x:c r="H251" t="n">
        <x:f>MAX(D251-$B$5,0)</x:f>
        <x:v>0</x:v>
      </x:c>
      <x:c r="I251" t="n">
        <x:f>MAX($B$5-D251,0)</x:f>
        <x:v>7</x:v>
      </x:c>
    </x:row>
    <x:row r="252">
      <x:c r="A252" t="n">
        <x:f>240</x:f>
        <x:v>240</x:v>
      </x:c>
      <x:c r="B252" t="n">
        <x:f>RAND()</x:f>
        <x:v>0.4953494878751572</x:v>
      </x:c>
      <x:c r="C252" t="n">
        <x:f>MIN(47,INT(B252*47)+1)</x:f>
        <x:v>24</x:v>
      </x:c>
      <x:c r="D252" t="n">
        <x:f>INDEX(Datos_47_semanas!$B$4:$B$50,C252)</x:f>
        <x:v>186</x:v>
      </x:c>
      <x:c r="E252" t="n">
        <x:f>MIN($B$4,D252)*$B$7+MAX($B$4-D252,0)*$B$9-$B$4*$B$8</x:f>
        <x:v>113.59999999999997</x:v>
      </x:c>
      <x:c r="F252" t="n">
        <x:f>MIN($B$5,D252)*$B$7+MAX($B$5-D252,0)*$B$9-$B$5*$B$8</x:f>
        <x:v>86.09999999999997</x:v>
      </x:c>
      <x:c r="G252" t="n">
        <x:f>MIN($B$6,D252)*$B$7+MAX($B$6-D252,0)*$B$9-$B$6*$B$8</x:f>
        <x:v>31.099999999999966</x:v>
      </x:c>
      <x:c r="H252" t="n">
        <x:f>MAX(D252-$B$5,0)</x:f>
        <x:v>0</x:v>
      </x:c>
      <x:c r="I252" t="n">
        <x:f>MAX($B$5-D252,0)</x:f>
        <x:v>114</x:v>
      </x:c>
    </x:row>
    <x:row r="253">
      <x:c r="A253" t="n">
        <x:f>241</x:f>
        <x:v>241</x:v>
      </x:c>
      <x:c r="B253" t="n">
        <x:f>RAND()</x:f>
        <x:v>0.5576123532852425</x:v>
      </x:c>
      <x:c r="C253" t="n">
        <x:f>MIN(47,INT(B253*47)+1)</x:f>
        <x:v>27</x:v>
      </x:c>
      <x:c r="D253" t="n">
        <x:f>INDEX(Datos_47_semanas!$B$4:$B$50,C253)</x:f>
        <x:v>293</x:v>
      </x:c>
      <x:c r="E253" t="n">
        <x:f>MIN($B$4,D253)*$B$7+MAX($B$4-D253,0)*$B$9-$B$4*$B$8</x:f>
        <x:v>200</x:v>
      </x:c>
      <x:c r="F253" t="n">
        <x:f>MIN($B$5,D253)*$B$7+MAX($B$5-D253,0)*$B$9-$B$5*$B$8</x:f>
        <x:v>230.55</x:v>
      </x:c>
      <x:c r="G253" t="n">
        <x:f>MIN($B$6,D253)*$B$7+MAX($B$6-D253,0)*$B$9-$B$6*$B$8</x:f>
        <x:v>175.54999999999995</x:v>
      </x:c>
      <x:c r="H253" t="n">
        <x:f>MAX(D253-$B$5,0)</x:f>
        <x:v>0</x:v>
      </x:c>
      <x:c r="I253" t="n">
        <x:f>MAX($B$5-D253,0)</x:f>
        <x:v>7</x:v>
      </x:c>
    </x:row>
    <x:row r="254">
      <x:c r="A254" t="n">
        <x:f>242</x:f>
        <x:v>242</x:v>
      </x:c>
      <x:c r="B254" t="n">
        <x:f>RAND()</x:f>
        <x:v>0.8456088613348779</x:v>
      </x:c>
      <x:c r="C254" t="n">
        <x:f>MIN(47,INT(B254*47)+1)</x:f>
        <x:v>40</x:v>
      </x:c>
      <x:c r="D254" t="n">
        <x:f>INDEX(Datos_47_semanas!$B$4:$B$50,C254)</x:f>
        <x:v>278</x:v>
      </x:c>
      <x:c r="E254" t="n">
        <x:f>MIN($B$4,D254)*$B$7+MAX($B$4-D254,0)*$B$9-$B$4*$B$8</x:f>
        <x:v>200</x:v>
      </x:c>
      <x:c r="F254" t="n">
        <x:f>MIN($B$5,D254)*$B$7+MAX($B$5-D254,0)*$B$9-$B$5*$B$8</x:f>
        <x:v>210.3</x:v>
      </x:c>
      <x:c r="G254" t="n">
        <x:f>MIN($B$6,D254)*$B$7+MAX($B$6-D254,0)*$B$9-$B$6*$B$8</x:f>
        <x:v>155.3</x:v>
      </x:c>
      <x:c r="H254" t="n">
        <x:f>MAX(D254-$B$5,0)</x:f>
        <x:v>0</x:v>
      </x:c>
      <x:c r="I254" t="n">
        <x:f>MAX($B$5-D254,0)</x:f>
        <x:v>22</x:v>
      </x:c>
    </x:row>
    <x:row r="255">
      <x:c r="A255" t="n">
        <x:f>243</x:f>
        <x:v>243</x:v>
      </x:c>
      <x:c r="B255" t="n">
        <x:f>RAND()</x:f>
        <x:v>0.4699069979095536</x:v>
      </x:c>
      <x:c r="C255" t="n">
        <x:f>MIN(47,INT(B255*47)+1)</x:f>
        <x:v>23</x:v>
      </x:c>
      <x:c r="D255" t="n">
        <x:f>INDEX(Datos_47_semanas!$B$4:$B$50,C255)</x:f>
        <x:v>565</x:v>
      </x:c>
      <x:c r="E255" t="n">
        <x:f>MIN($B$4,D255)*$B$7+MAX($B$4-D255,0)*$B$9-$B$4*$B$8</x:f>
        <x:v>200</x:v>
      </x:c>
      <x:c r="F255" t="n">
        <x:f>MIN($B$5,D255)*$B$7+MAX($B$5-D255,0)*$B$9-$B$5*$B$8</x:f>
        <x:v>240</x:v>
      </x:c>
      <x:c r="G255" t="n">
        <x:f>MIN($B$6,D255)*$B$7+MAX($B$6-D255,0)*$B$9-$B$6*$B$8</x:f>
        <x:v>320</x:v>
      </x:c>
      <x:c r="H255" t="n">
        <x:f>MAX(D255-$B$5,0)</x:f>
        <x:v>265</x:v>
      </x:c>
      <x:c r="I255" t="n">
        <x:f>MAX($B$5-D255,0)</x:f>
        <x:v>0</x:v>
      </x:c>
    </x:row>
    <x:row r="256">
      <x:c r="A256" t="n">
        <x:f>244</x:f>
        <x:v>244</x:v>
      </x:c>
      <x:c r="B256" t="n">
        <x:f>RAND()</x:f>
        <x:v>0.32965928504977826</x:v>
      </x:c>
      <x:c r="C256" t="n">
        <x:f>MIN(47,INT(B256*47)+1)</x:f>
        <x:v>16</x:v>
      </x:c>
      <x:c r="D256" t="n">
        <x:f>INDEX(Datos_47_semanas!$B$4:$B$50,C256)</x:f>
        <x:v>318</x:v>
      </x:c>
      <x:c r="E256" t="n">
        <x:f>MIN($B$4,D256)*$B$7+MAX($B$4-D256,0)*$B$9-$B$4*$B$8</x:f>
        <x:v>200</x:v>
      </x:c>
      <x:c r="F256" t="n">
        <x:f>MIN($B$5,D256)*$B$7+MAX($B$5-D256,0)*$B$9-$B$5*$B$8</x:f>
        <x:v>240</x:v>
      </x:c>
      <x:c r="G256" t="n">
        <x:f>MIN($B$6,D256)*$B$7+MAX($B$6-D256,0)*$B$9-$B$6*$B$8</x:f>
        <x:v>209.29999999999995</x:v>
      </x:c>
      <x:c r="H256" t="n">
        <x:f>MAX(D256-$B$5,0)</x:f>
        <x:v>18</x:v>
      </x:c>
      <x:c r="I256" t="n">
        <x:f>MAX($B$5-D256,0)</x:f>
        <x:v>0</x:v>
      </x:c>
    </x:row>
    <x:row r="257">
      <x:c r="A257" t="n">
        <x:f>245</x:f>
        <x:v>245</x:v>
      </x:c>
      <x:c r="B257" t="n">
        <x:f>RAND()</x:f>
        <x:v>0.02182344155693805</x:v>
      </x:c>
      <x:c r="C257" t="n">
        <x:f>MIN(47,INT(B257*47)+1)</x:f>
        <x:v>2</x:v>
      </x:c>
      <x:c r="D257" t="n">
        <x:f>INDEX(Datos_47_semanas!$B$4:$B$50,C257)</x:f>
        <x:v>282</x:v>
      </x:c>
      <x:c r="E257" t="n">
        <x:f>MIN($B$4,D257)*$B$7+MAX($B$4-D257,0)*$B$9-$B$4*$B$8</x:f>
        <x:v>200</x:v>
      </x:c>
      <x:c r="F257" t="n">
        <x:f>MIN($B$5,D257)*$B$7+MAX($B$5-D257,0)*$B$9-$B$5*$B$8</x:f>
        <x:v>215.69999999999993</x:v>
      </x:c>
      <x:c r="G257" t="n">
        <x:f>MIN($B$6,D257)*$B$7+MAX($B$6-D257,0)*$B$9-$B$6*$B$8</x:f>
        <x:v>160.69999999999993</x:v>
      </x:c>
      <x:c r="H257" t="n">
        <x:f>MAX(D257-$B$5,0)</x:f>
        <x:v>0</x:v>
      </x:c>
      <x:c r="I257" t="n">
        <x:f>MAX($B$5-D257,0)</x:f>
        <x:v>18</x:v>
      </x:c>
    </x:row>
    <x:row r="258">
      <x:c r="A258" t="n">
        <x:f>246</x:f>
        <x:v>246</x:v>
      </x:c>
      <x:c r="B258" t="n">
        <x:f>RAND()</x:f>
        <x:v>0.901415565135704</x:v>
      </x:c>
      <x:c r="C258" t="n">
        <x:f>MIN(47,INT(B258*47)+1)</x:f>
        <x:v>43</x:v>
      </x:c>
      <x:c r="D258" t="n">
        <x:f>INDEX(Datos_47_semanas!$B$4:$B$50,C258)</x:f>
        <x:v>234</x:v>
      </x:c>
      <x:c r="E258" t="n">
        <x:f>MIN($B$4,D258)*$B$7+MAX($B$4-D258,0)*$B$9-$B$4*$B$8</x:f>
        <x:v>178.39999999999998</x:v>
      </x:c>
      <x:c r="F258" t="n">
        <x:f>MIN($B$5,D258)*$B$7+MAX($B$5-D258,0)*$B$9-$B$5*$B$8</x:f>
        <x:v>150.89999999999998</x:v>
      </x:c>
      <x:c r="G258" t="n">
        <x:f>MIN($B$6,D258)*$B$7+MAX($B$6-D258,0)*$B$9-$B$6*$B$8</x:f>
        <x:v>95.89999999999998</x:v>
      </x:c>
      <x:c r="H258" t="n">
        <x:f>MAX(D258-$B$5,0)</x:f>
        <x:v>0</x:v>
      </x:c>
      <x:c r="I258" t="n">
        <x:f>MAX($B$5-D258,0)</x:f>
        <x:v>66</x:v>
      </x:c>
    </x:row>
    <x:row r="259">
      <x:c r="A259" t="n">
        <x:f>247</x:f>
        <x:v>247</x:v>
      </x:c>
      <x:c r="B259" t="n">
        <x:f>RAND()</x:f>
        <x:v>0.07495711425002094</x:v>
      </x:c>
      <x:c r="C259" t="n">
        <x:f>MIN(47,INT(B259*47)+1)</x:f>
        <x:v>4</x:v>
      </x:c>
      <x:c r="D259" t="n">
        <x:f>INDEX(Datos_47_semanas!$B$4:$B$50,C259)</x:f>
        <x:v>161</x:v>
      </x:c>
      <x:c r="E259" t="n">
        <x:f>MIN($B$4,D259)*$B$7+MAX($B$4-D259,0)*$B$9-$B$4*$B$8</x:f>
        <x:v>79.84999999999997</x:v>
      </x:c>
      <x:c r="F259" t="n">
        <x:f>MIN($B$5,D259)*$B$7+MAX($B$5-D259,0)*$B$9-$B$5*$B$8</x:f>
        <x:v>52.349999999999966</x:v>
      </x:c>
      <x:c r="G259" t="n">
        <x:f>MIN($B$6,D259)*$B$7+MAX($B$6-D259,0)*$B$9-$B$6*$B$8</x:f>
        <x:v>-2.650000000000034</x:v>
      </x:c>
      <x:c r="H259" t="n">
        <x:f>MAX(D259-$B$5,0)</x:f>
        <x:v>0</x:v>
      </x:c>
      <x:c r="I259" t="n">
        <x:f>MAX($B$5-D259,0)</x:f>
        <x:v>139</x:v>
      </x:c>
    </x:row>
    <x:row r="260">
      <x:c r="A260" t="n">
        <x:f>248</x:f>
        <x:v>248</x:v>
      </x:c>
      <x:c r="B260" t="n">
        <x:f>RAND()</x:f>
        <x:v>0.562940072073442</x:v>
      </x:c>
      <x:c r="C260" t="n">
        <x:f>MIN(47,INT(B260*47)+1)</x:f>
        <x:v>27</x:v>
      </x:c>
      <x:c r="D260" t="n">
        <x:f>INDEX(Datos_47_semanas!$B$4:$B$50,C260)</x:f>
        <x:v>293</x:v>
      </x:c>
      <x:c r="E260" t="n">
        <x:f>MIN($B$4,D260)*$B$7+MAX($B$4-D260,0)*$B$9-$B$4*$B$8</x:f>
        <x:v>200</x:v>
      </x:c>
      <x:c r="F260" t="n">
        <x:f>MIN($B$5,D260)*$B$7+MAX($B$5-D260,0)*$B$9-$B$5*$B$8</x:f>
        <x:v>230.55</x:v>
      </x:c>
      <x:c r="G260" t="n">
        <x:f>MIN($B$6,D260)*$B$7+MAX($B$6-D260,0)*$B$9-$B$6*$B$8</x:f>
        <x:v>175.54999999999995</x:v>
      </x:c>
      <x:c r="H260" t="n">
        <x:f>MAX(D260-$B$5,0)</x:f>
        <x:v>0</x:v>
      </x:c>
      <x:c r="I260" t="n">
        <x:f>MAX($B$5-D260,0)</x:f>
        <x:v>7</x:v>
      </x:c>
    </x:row>
    <x:row r="261">
      <x:c r="A261" t="n">
        <x:f>249</x:f>
        <x:v>249</x:v>
      </x:c>
      <x:c r="B261" t="n">
        <x:f>RAND()</x:f>
        <x:v>0.06675821297620899</x:v>
      </x:c>
      <x:c r="C261" t="n">
        <x:f>MIN(47,INT(B261*47)+1)</x:f>
        <x:v>4</x:v>
      </x:c>
      <x:c r="D261" t="n">
        <x:f>INDEX(Datos_47_semanas!$B$4:$B$50,C261)</x:f>
        <x:v>161</x:v>
      </x:c>
      <x:c r="E261" t="n">
        <x:f>MIN($B$4,D261)*$B$7+MAX($B$4-D261,0)*$B$9-$B$4*$B$8</x:f>
        <x:v>79.84999999999997</x:v>
      </x:c>
      <x:c r="F261" t="n">
        <x:f>MIN($B$5,D261)*$B$7+MAX($B$5-D261,0)*$B$9-$B$5*$B$8</x:f>
        <x:v>52.349999999999966</x:v>
      </x:c>
      <x:c r="G261" t="n">
        <x:f>MIN($B$6,D261)*$B$7+MAX($B$6-D261,0)*$B$9-$B$6*$B$8</x:f>
        <x:v>-2.650000000000034</x:v>
      </x:c>
      <x:c r="H261" t="n">
        <x:f>MAX(D261-$B$5,0)</x:f>
        <x:v>0</x:v>
      </x:c>
      <x:c r="I261" t="n">
        <x:f>MAX($B$5-D261,0)</x:f>
        <x:v>139</x:v>
      </x:c>
    </x:row>
    <x:row r="262">
      <x:c r="A262" t="n">
        <x:f>250</x:f>
        <x:v>250</x:v>
      </x:c>
      <x:c r="B262" t="n">
        <x:f>RAND()</x:f>
        <x:v>0.09691095422135787</x:v>
      </x:c>
      <x:c r="C262" t="n">
        <x:f>MIN(47,INT(B262*47)+1)</x:f>
        <x:v>5</x:v>
      </x:c>
      <x:c r="D262" t="n">
        <x:f>INDEX(Datos_47_semanas!$B$4:$B$50,C262)</x:f>
        <x:v>347</x:v>
      </x:c>
      <x:c r="E262" t="n">
        <x:f>MIN($B$4,D262)*$B$7+MAX($B$4-D262,0)*$B$9-$B$4*$B$8</x:f>
        <x:v>200</x:v>
      </x:c>
      <x:c r="F262" t="n">
        <x:f>MIN($B$5,D262)*$B$7+MAX($B$5-D262,0)*$B$9-$B$5*$B$8</x:f>
        <x:v>240</x:v>
      </x:c>
      <x:c r="G262" t="n">
        <x:f>MIN($B$6,D262)*$B$7+MAX($B$6-D262,0)*$B$9-$B$6*$B$8</x:f>
        <x:v>248.44999999999993</x:v>
      </x:c>
      <x:c r="H262" t="n">
        <x:f>MAX(D262-$B$5,0)</x:f>
        <x:v>47</x:v>
      </x:c>
      <x:c r="I262" t="n">
        <x:f>MAX($B$5-D262,0)</x:f>
        <x:v>0</x:v>
      </x:c>
    </x:row>
    <x:row r="263">
      <x:c r="A263" t="n">
        <x:f>251</x:f>
        <x:v>251</x:v>
      </x:c>
      <x:c r="B263" t="n">
        <x:f>RAND()</x:f>
        <x:v>0.2516286356883968</x:v>
      </x:c>
      <x:c r="C263" t="n">
        <x:f>MIN(47,INT(B263*47)+1)</x:f>
        <x:v>12</x:v>
      </x:c>
      <x:c r="D263" t="n">
        <x:f>INDEX(Datos_47_semanas!$B$4:$B$50,C263)</x:f>
        <x:v>336</x:v>
      </x:c>
      <x:c r="E263" t="n">
        <x:f>MIN($B$4,D263)*$B$7+MAX($B$4-D263,0)*$B$9-$B$4*$B$8</x:f>
        <x:v>200</x:v>
      </x:c>
      <x:c r="F263" t="n">
        <x:f>MIN($B$5,D263)*$B$7+MAX($B$5-D263,0)*$B$9-$B$5*$B$8</x:f>
        <x:v>240</x:v>
      </x:c>
      <x:c r="G263" t="n">
        <x:f>MIN($B$6,D263)*$B$7+MAX($B$6-D263,0)*$B$9-$B$6*$B$8</x:f>
        <x:v>233.60000000000002</x:v>
      </x:c>
      <x:c r="H263" t="n">
        <x:f>MAX(D263-$B$5,0)</x:f>
        <x:v>36</x:v>
      </x:c>
      <x:c r="I263" t="n">
        <x:f>MAX($B$5-D263,0)</x:f>
        <x:v>0</x:v>
      </x:c>
    </x:row>
    <x:row r="264">
      <x:c r="A264" t="n">
        <x:f>252</x:f>
        <x:v>252</x:v>
      </x:c>
      <x:c r="B264" t="n">
        <x:f>RAND()</x:f>
        <x:v>0.5862953537769423</x:v>
      </x:c>
      <x:c r="C264" t="n">
        <x:f>MIN(47,INT(B264*47)+1)</x:f>
        <x:v>28</x:v>
      </x:c>
      <x:c r="D264" t="n">
        <x:f>INDEX(Datos_47_semanas!$B$4:$B$50,C264)</x:f>
        <x:v>201</x:v>
      </x:c>
      <x:c r="E264" t="n">
        <x:f>MIN($B$4,D264)*$B$7+MAX($B$4-D264,0)*$B$9-$B$4*$B$8</x:f>
        <x:v>133.84999999999997</x:v>
      </x:c>
      <x:c r="F264" t="n">
        <x:f>MIN($B$5,D264)*$B$7+MAX($B$5-D264,0)*$B$9-$B$5*$B$8</x:f>
        <x:v>106.34999999999997</x:v>
      </x:c>
      <x:c r="G264" t="n">
        <x:f>MIN($B$6,D264)*$B$7+MAX($B$6-D264,0)*$B$9-$B$6*$B$8</x:f>
        <x:v>51.349999999999966</x:v>
      </x:c>
      <x:c r="H264" t="n">
        <x:f>MAX(D264-$B$5,0)</x:f>
        <x:v>0</x:v>
      </x:c>
      <x:c r="I264" t="n">
        <x:f>MAX($B$5-D264,0)</x:f>
        <x:v>99</x:v>
      </x:c>
    </x:row>
    <x:row r="265">
      <x:c r="A265" t="n">
        <x:f>253</x:f>
        <x:v>253</x:v>
      </x:c>
      <x:c r="B265" t="n">
        <x:f>RAND()</x:f>
        <x:v>0.13928273297317584</x:v>
      </x:c>
      <x:c r="C265" t="n">
        <x:f>MIN(47,INT(B265*47)+1)</x:f>
        <x:v>7</x:v>
      </x:c>
      <x:c r="D265" t="n">
        <x:f>INDEX(Datos_47_semanas!$B$4:$B$50,C265)</x:f>
        <x:v>249</x:v>
      </x:c>
      <x:c r="E265" t="n">
        <x:f>MIN($B$4,D265)*$B$7+MAX($B$4-D265,0)*$B$9-$B$4*$B$8</x:f>
        <x:v>198.64999999999998</x:v>
      </x:c>
      <x:c r="F265" t="n">
        <x:f>MIN($B$5,D265)*$B$7+MAX($B$5-D265,0)*$B$9-$B$5*$B$8</x:f>
        <x:v>171.14999999999998</x:v>
      </x:c>
      <x:c r="G265" t="n">
        <x:f>MIN($B$6,D265)*$B$7+MAX($B$6-D265,0)*$B$9-$B$6*$B$8</x:f>
        <x:v>116.14999999999998</x:v>
      </x:c>
      <x:c r="H265" t="n">
        <x:f>MAX(D265-$B$5,0)</x:f>
        <x:v>0</x:v>
      </x:c>
      <x:c r="I265" t="n">
        <x:f>MAX($B$5-D265,0)</x:f>
        <x:v>51</x:v>
      </x:c>
    </x:row>
    <x:row r="266">
      <x:c r="A266" t="n">
        <x:f>254</x:f>
        <x:v>254</x:v>
      </x:c>
      <x:c r="B266" t="n">
        <x:f>RAND()</x:f>
        <x:v>0.6549593129940773</x:v>
      </x:c>
      <x:c r="C266" t="n">
        <x:f>MIN(47,INT(B266*47)+1)</x:f>
        <x:v>31</x:v>
      </x:c>
      <x:c r="D266" t="n">
        <x:f>INDEX(Datos_47_semanas!$B$4:$B$50,C266)</x:f>
        <x:v>583</x:v>
      </x:c>
      <x:c r="E266" t="n">
        <x:f>MIN($B$4,D266)*$B$7+MAX($B$4-D266,0)*$B$9-$B$4*$B$8</x:f>
        <x:v>200</x:v>
      </x:c>
      <x:c r="F266" t="n">
        <x:f>MIN($B$5,D266)*$B$7+MAX($B$5-D266,0)*$B$9-$B$5*$B$8</x:f>
        <x:v>240</x:v>
      </x:c>
      <x:c r="G266" t="n">
        <x:f>MIN($B$6,D266)*$B$7+MAX($B$6-D266,0)*$B$9-$B$6*$B$8</x:f>
        <x:v>320</x:v>
      </x:c>
      <x:c r="H266" t="n">
        <x:f>MAX(D266-$B$5,0)</x:f>
        <x:v>283</x:v>
      </x:c>
      <x:c r="I266" t="n">
        <x:f>MAX($B$5-D266,0)</x:f>
        <x:v>0</x:v>
      </x:c>
    </x:row>
    <x:row r="267">
      <x:c r="A267" t="n">
        <x:f>255</x:f>
        <x:v>255</x:v>
      </x:c>
      <x:c r="B267" t="n">
        <x:f>RAND()</x:f>
        <x:v>0.26859043716356223</x:v>
      </x:c>
      <x:c r="C267" t="n">
        <x:f>MIN(47,INT(B267*47)+1)</x:f>
        <x:v>13</x:v>
      </x:c>
      <x:c r="D267" t="n">
        <x:f>INDEX(Datos_47_semanas!$B$4:$B$50,C267)</x:f>
        <x:v>517</x:v>
      </x:c>
      <x:c r="E267" t="n">
        <x:f>MIN($B$4,D267)*$B$7+MAX($B$4-D267,0)*$B$9-$B$4*$B$8</x:f>
        <x:v>200</x:v>
      </x:c>
      <x:c r="F267" t="n">
        <x:f>MIN($B$5,D267)*$B$7+MAX($B$5-D267,0)*$B$9-$B$5*$B$8</x:f>
        <x:v>240</x:v>
      </x:c>
      <x:c r="G267" t="n">
        <x:f>MIN($B$6,D267)*$B$7+MAX($B$6-D267,0)*$B$9-$B$6*$B$8</x:f>
        <x:v>320</x:v>
      </x:c>
      <x:c r="H267" t="n">
        <x:f>MAX(D267-$B$5,0)</x:f>
        <x:v>217</x:v>
      </x:c>
      <x:c r="I267" t="n">
        <x:f>MAX($B$5-D267,0)</x:f>
        <x:v>0</x:v>
      </x:c>
    </x:row>
    <x:row r="268">
      <x:c r="A268" t="n">
        <x:f>256</x:f>
        <x:v>256</x:v>
      </x:c>
      <x:c r="B268" t="n">
        <x:f>RAND()</x:f>
        <x:v>0.2997585140183905</x:v>
      </x:c>
      <x:c r="C268" t="n">
        <x:f>MIN(47,INT(B268*47)+1)</x:f>
        <x:v>15</x:v>
      </x:c>
      <x:c r="D268" t="n">
        <x:f>INDEX(Datos_47_semanas!$B$4:$B$50,C268)</x:f>
        <x:v>275</x:v>
      </x:c>
      <x:c r="E268" t="n">
        <x:f>MIN($B$4,D268)*$B$7+MAX($B$4-D268,0)*$B$9-$B$4*$B$8</x:f>
        <x:v>200</x:v>
      </x:c>
      <x:c r="F268" t="n">
        <x:f>MIN($B$5,D268)*$B$7+MAX($B$5-D268,0)*$B$9-$B$5*$B$8</x:f>
        <x:v>206.25</x:v>
      </x:c>
      <x:c r="G268" t="n">
        <x:f>MIN($B$6,D268)*$B$7+MAX($B$6-D268,0)*$B$9-$B$6*$B$8</x:f>
        <x:v>151.25</x:v>
      </x:c>
      <x:c r="H268" t="n">
        <x:f>MAX(D268-$B$5,0)</x:f>
        <x:v>0</x:v>
      </x:c>
      <x:c r="I268" t="n">
        <x:f>MAX($B$5-D268,0)</x:f>
        <x:v>25</x:v>
      </x:c>
    </x:row>
    <x:row r="269">
      <x:c r="A269" t="n">
        <x:f>257</x:f>
        <x:v>257</x:v>
      </x:c>
      <x:c r="B269" t="n">
        <x:f>RAND()</x:f>
        <x:v>0.14320982929891102</x:v>
      </x:c>
      <x:c r="C269" t="n">
        <x:f>MIN(47,INT(B269*47)+1)</x:f>
        <x:v>7</x:v>
      </x:c>
      <x:c r="D269" t="n">
        <x:f>INDEX(Datos_47_semanas!$B$4:$B$50,C269)</x:f>
        <x:v>249</x:v>
      </x:c>
      <x:c r="E269" t="n">
        <x:f>MIN($B$4,D269)*$B$7+MAX($B$4-D269,0)*$B$9-$B$4*$B$8</x:f>
        <x:v>198.64999999999998</x:v>
      </x:c>
      <x:c r="F269" t="n">
        <x:f>MIN($B$5,D269)*$B$7+MAX($B$5-D269,0)*$B$9-$B$5*$B$8</x:f>
        <x:v>171.14999999999998</x:v>
      </x:c>
      <x:c r="G269" t="n">
        <x:f>MIN($B$6,D269)*$B$7+MAX($B$6-D269,0)*$B$9-$B$6*$B$8</x:f>
        <x:v>116.14999999999998</x:v>
      </x:c>
      <x:c r="H269" t="n">
        <x:f>MAX(D269-$B$5,0)</x:f>
        <x:v>0</x:v>
      </x:c>
      <x:c r="I269" t="n">
        <x:f>MAX($B$5-D269,0)</x:f>
        <x:v>51</x:v>
      </x:c>
    </x:row>
    <x:row r="270">
      <x:c r="A270" t="n">
        <x:f>258</x:f>
        <x:v>258</x:v>
      </x:c>
      <x:c r="B270" t="n">
        <x:f>RAND()</x:f>
        <x:v>0.8361739240251058</x:v>
      </x:c>
      <x:c r="C270" t="n">
        <x:f>MIN(47,INT(B270*47)+1)</x:f>
        <x:v>40</x:v>
      </x:c>
      <x:c r="D270" t="n">
        <x:f>INDEX(Datos_47_semanas!$B$4:$B$50,C270)</x:f>
        <x:v>278</x:v>
      </x:c>
      <x:c r="E270" t="n">
        <x:f>MIN($B$4,D270)*$B$7+MAX($B$4-D270,0)*$B$9-$B$4*$B$8</x:f>
        <x:v>200</x:v>
      </x:c>
      <x:c r="F270" t="n">
        <x:f>MIN($B$5,D270)*$B$7+MAX($B$5-D270,0)*$B$9-$B$5*$B$8</x:f>
        <x:v>210.3</x:v>
      </x:c>
      <x:c r="G270" t="n">
        <x:f>MIN($B$6,D270)*$B$7+MAX($B$6-D270,0)*$B$9-$B$6*$B$8</x:f>
        <x:v>155.3</x:v>
      </x:c>
      <x:c r="H270" t="n">
        <x:f>MAX(D270-$B$5,0)</x:f>
        <x:v>0</x:v>
      </x:c>
      <x:c r="I270" t="n">
        <x:f>MAX($B$5-D270,0)</x:f>
        <x:v>22</x:v>
      </x:c>
    </x:row>
    <x:row r="271">
      <x:c r="A271" t="n">
        <x:f>259</x:f>
        <x:v>259</x:v>
      </x:c>
      <x:c r="B271" t="n">
        <x:f>RAND()</x:f>
        <x:v>0.7805436743525852</x:v>
      </x:c>
      <x:c r="C271" t="n">
        <x:f>MIN(47,INT(B271*47)+1)</x:f>
        <x:v>37</x:v>
      </x:c>
      <x:c r="D271" t="n">
        <x:f>INDEX(Datos_47_semanas!$B$4:$B$50,C271)</x:f>
        <x:v>299</x:v>
      </x:c>
      <x:c r="E271" t="n">
        <x:f>MIN($B$4,D271)*$B$7+MAX($B$4-D271,0)*$B$9-$B$4*$B$8</x:f>
        <x:v>200</x:v>
      </x:c>
      <x:c r="F271" t="n">
        <x:f>MIN($B$5,D271)*$B$7+MAX($B$5-D271,0)*$B$9-$B$5*$B$8</x:f>
        <x:v>238.64999999999998</x:v>
      </x:c>
      <x:c r="G271" t="n">
        <x:f>MIN($B$6,D271)*$B$7+MAX($B$6-D271,0)*$B$9-$B$6*$B$8</x:f>
        <x:v>183.64999999999998</x:v>
      </x:c>
      <x:c r="H271" t="n">
        <x:f>MAX(D271-$B$5,0)</x:f>
        <x:v>0</x:v>
      </x:c>
      <x:c r="I271" t="n">
        <x:f>MAX($B$5-D271,0)</x:f>
        <x:v>1</x:v>
      </x:c>
    </x:row>
    <x:row r="272">
      <x:c r="A272" t="n">
        <x:f>260</x:f>
        <x:v>260</x:v>
      </x:c>
      <x:c r="B272" t="n">
        <x:f>RAND()</x:f>
        <x:v>0.4693808066650772</x:v>
      </x:c>
      <x:c r="C272" t="n">
        <x:f>MIN(47,INT(B272*47)+1)</x:f>
        <x:v>23</x:v>
      </x:c>
      <x:c r="D272" t="n">
        <x:f>INDEX(Datos_47_semanas!$B$4:$B$50,C272)</x:f>
        <x:v>565</x:v>
      </x:c>
      <x:c r="E272" t="n">
        <x:f>MIN($B$4,D272)*$B$7+MAX($B$4-D272,0)*$B$9-$B$4*$B$8</x:f>
        <x:v>200</x:v>
      </x:c>
      <x:c r="F272" t="n">
        <x:f>MIN($B$5,D272)*$B$7+MAX($B$5-D272,0)*$B$9-$B$5*$B$8</x:f>
        <x:v>240</x:v>
      </x:c>
      <x:c r="G272" t="n">
        <x:f>MIN($B$6,D272)*$B$7+MAX($B$6-D272,0)*$B$9-$B$6*$B$8</x:f>
        <x:v>320</x:v>
      </x:c>
      <x:c r="H272" t="n">
        <x:f>MAX(D272-$B$5,0)</x:f>
        <x:v>265</x:v>
      </x:c>
      <x:c r="I272" t="n">
        <x:f>MAX($B$5-D272,0)</x:f>
        <x:v>0</x:v>
      </x:c>
    </x:row>
    <x:row r="273">
      <x:c r="A273" t="n">
        <x:f>261</x:f>
        <x:v>261</x:v>
      </x:c>
      <x:c r="B273" t="n">
        <x:f>RAND()</x:f>
        <x:v>0.5381476955367517</x:v>
      </x:c>
      <x:c r="C273" t="n">
        <x:f>MIN(47,INT(B273*47)+1)</x:f>
        <x:v>26</x:v>
      </x:c>
      <x:c r="D273" t="n">
        <x:f>INDEX(Datos_47_semanas!$B$4:$B$50,C273)</x:f>
        <x:v>183</x:v>
      </x:c>
      <x:c r="E273" t="n">
        <x:f>MIN($B$4,D273)*$B$7+MAX($B$4-D273,0)*$B$9-$B$4*$B$8</x:f>
        <x:v>109.55000000000001</x:v>
      </x:c>
      <x:c r="F273" t="n">
        <x:f>MIN($B$5,D273)*$B$7+MAX($B$5-D273,0)*$B$9-$B$5*$B$8</x:f>
        <x:v>82.05000000000001</x:v>
      </x:c>
      <x:c r="G273" t="n">
        <x:f>MIN($B$6,D273)*$B$7+MAX($B$6-D273,0)*$B$9-$B$6*$B$8</x:f>
        <x:v>27.049999999999955</x:v>
      </x:c>
      <x:c r="H273" t="n">
        <x:f>MAX(D273-$B$5,0)</x:f>
        <x:v>0</x:v>
      </x:c>
      <x:c r="I273" t="n">
        <x:f>MAX($B$5-D273,0)</x:f>
        <x:v>117</x:v>
      </x:c>
    </x:row>
    <x:row r="274">
      <x:c r="A274" t="n">
        <x:f>262</x:f>
        <x:v>262</x:v>
      </x:c>
      <x:c r="B274" t="n">
        <x:f>RAND()</x:f>
        <x:v>0.3151881387558305</x:v>
      </x:c>
      <x:c r="C274" t="n">
        <x:f>MIN(47,INT(B274*47)+1)</x:f>
        <x:v>15</x:v>
      </x:c>
      <x:c r="D274" t="n">
        <x:f>INDEX(Datos_47_semanas!$B$4:$B$50,C274)</x:f>
        <x:v>275</x:v>
      </x:c>
      <x:c r="E274" t="n">
        <x:f>MIN($B$4,D274)*$B$7+MAX($B$4-D274,0)*$B$9-$B$4*$B$8</x:f>
        <x:v>200</x:v>
      </x:c>
      <x:c r="F274" t="n">
        <x:f>MIN($B$5,D274)*$B$7+MAX($B$5-D274,0)*$B$9-$B$5*$B$8</x:f>
        <x:v>206.25</x:v>
      </x:c>
      <x:c r="G274" t="n">
        <x:f>MIN($B$6,D274)*$B$7+MAX($B$6-D274,0)*$B$9-$B$6*$B$8</x:f>
        <x:v>151.25</x:v>
      </x:c>
      <x:c r="H274" t="n">
        <x:f>MAX(D274-$B$5,0)</x:f>
        <x:v>0</x:v>
      </x:c>
      <x:c r="I274" t="n">
        <x:f>MAX($B$5-D274,0)</x:f>
        <x:v>25</x:v>
      </x:c>
    </x:row>
    <x:row r="275">
      <x:c r="A275" t="n">
        <x:f>263</x:f>
        <x:v>263</x:v>
      </x:c>
      <x:c r="B275" t="n">
        <x:f>RAND()</x:f>
        <x:v>0.8378341327922671</x:v>
      </x:c>
      <x:c r="C275" t="n">
        <x:f>MIN(47,INT(B275*47)+1)</x:f>
        <x:v>40</x:v>
      </x:c>
      <x:c r="D275" t="n">
        <x:f>INDEX(Datos_47_semanas!$B$4:$B$50,C275)</x:f>
        <x:v>278</x:v>
      </x:c>
      <x:c r="E275" t="n">
        <x:f>MIN($B$4,D275)*$B$7+MAX($B$4-D275,0)*$B$9-$B$4*$B$8</x:f>
        <x:v>200</x:v>
      </x:c>
      <x:c r="F275" t="n">
        <x:f>MIN($B$5,D275)*$B$7+MAX($B$5-D275,0)*$B$9-$B$5*$B$8</x:f>
        <x:v>210.3</x:v>
      </x:c>
      <x:c r="G275" t="n">
        <x:f>MIN($B$6,D275)*$B$7+MAX($B$6-D275,0)*$B$9-$B$6*$B$8</x:f>
        <x:v>155.3</x:v>
      </x:c>
      <x:c r="H275" t="n">
        <x:f>MAX(D275-$B$5,0)</x:f>
        <x:v>0</x:v>
      </x:c>
      <x:c r="I275" t="n">
        <x:f>MAX($B$5-D275,0)</x:f>
        <x:v>22</x:v>
      </x:c>
    </x:row>
    <x:row r="276">
      <x:c r="A276" t="n">
        <x:f>264</x:f>
        <x:v>264</x:v>
      </x:c>
      <x:c r="B276" t="n">
        <x:f>RAND()</x:f>
        <x:v>0.5718594185657363</x:v>
      </x:c>
      <x:c r="C276" t="n">
        <x:f>MIN(47,INT(B276*47)+1)</x:f>
        <x:v>27</x:v>
      </x:c>
      <x:c r="D276" t="n">
        <x:f>INDEX(Datos_47_semanas!$B$4:$B$50,C276)</x:f>
        <x:v>293</x:v>
      </x:c>
      <x:c r="E276" t="n">
        <x:f>MIN($B$4,D276)*$B$7+MAX($B$4-D276,0)*$B$9-$B$4*$B$8</x:f>
        <x:v>200</x:v>
      </x:c>
      <x:c r="F276" t="n">
        <x:f>MIN($B$5,D276)*$B$7+MAX($B$5-D276,0)*$B$9-$B$5*$B$8</x:f>
        <x:v>230.55</x:v>
      </x:c>
      <x:c r="G276" t="n">
        <x:f>MIN($B$6,D276)*$B$7+MAX($B$6-D276,0)*$B$9-$B$6*$B$8</x:f>
        <x:v>175.54999999999995</x:v>
      </x:c>
      <x:c r="H276" t="n">
        <x:f>MAX(D276-$B$5,0)</x:f>
        <x:v>0</x:v>
      </x:c>
      <x:c r="I276" t="n">
        <x:f>MAX($B$5-D276,0)</x:f>
        <x:v>7</x:v>
      </x:c>
    </x:row>
    <x:row r="277">
      <x:c r="A277" t="n">
        <x:f>265</x:f>
        <x:v>265</x:v>
      </x:c>
      <x:c r="B277" t="n">
        <x:f>RAND()</x:f>
        <x:v>0.09701570668267356</x:v>
      </x:c>
      <x:c r="C277" t="n">
        <x:f>MIN(47,INT(B277*47)+1)</x:f>
        <x:v>5</x:v>
      </x:c>
      <x:c r="D277" t="n">
        <x:f>INDEX(Datos_47_semanas!$B$4:$B$50,C277)</x:f>
        <x:v>347</x:v>
      </x:c>
      <x:c r="E277" t="n">
        <x:f>MIN($B$4,D277)*$B$7+MAX($B$4-D277,0)*$B$9-$B$4*$B$8</x:f>
        <x:v>200</x:v>
      </x:c>
      <x:c r="F277" t="n">
        <x:f>MIN($B$5,D277)*$B$7+MAX($B$5-D277,0)*$B$9-$B$5*$B$8</x:f>
        <x:v>240</x:v>
      </x:c>
      <x:c r="G277" t="n">
        <x:f>MIN($B$6,D277)*$B$7+MAX($B$6-D277,0)*$B$9-$B$6*$B$8</x:f>
        <x:v>248.44999999999993</x:v>
      </x:c>
      <x:c r="H277" t="n">
        <x:f>MAX(D277-$B$5,0)</x:f>
        <x:v>47</x:v>
      </x:c>
      <x:c r="I277" t="n">
        <x:f>MAX($B$5-D277,0)</x:f>
        <x:v>0</x:v>
      </x:c>
    </x:row>
    <x:row r="278">
      <x:c r="A278" t="n">
        <x:f>266</x:f>
        <x:v>266</x:v>
      </x:c>
      <x:c r="B278" t="n">
        <x:f>RAND()</x:f>
        <x:v>0.86692010908725</x:v>
      </x:c>
      <x:c r="C278" t="n">
        <x:f>MIN(47,INT(B278*47)+1)</x:f>
        <x:v>41</x:v>
      </x:c>
      <x:c r="D278" t="n">
        <x:f>INDEX(Datos_47_semanas!$B$4:$B$50,C278)</x:f>
        <x:v>383</x:v>
      </x:c>
      <x:c r="E278" t="n">
        <x:f>MIN($B$4,D278)*$B$7+MAX($B$4-D278,0)*$B$9-$B$4*$B$8</x:f>
        <x:v>200</x:v>
      </x:c>
      <x:c r="F278" t="n">
        <x:f>MIN($B$5,D278)*$B$7+MAX($B$5-D278,0)*$B$9-$B$5*$B$8</x:f>
        <x:v>240</x:v>
      </x:c>
      <x:c r="G278" t="n">
        <x:f>MIN($B$6,D278)*$B$7+MAX($B$6-D278,0)*$B$9-$B$6*$B$8</x:f>
        <x:v>297.04999999999995</x:v>
      </x:c>
      <x:c r="H278" t="n">
        <x:f>MAX(D278-$B$5,0)</x:f>
        <x:v>83</x:v>
      </x:c>
      <x:c r="I278" t="n">
        <x:f>MAX($B$5-D278,0)</x:f>
        <x:v>0</x:v>
      </x:c>
    </x:row>
    <x:row r="279">
      <x:c r="A279" t="n">
        <x:f>267</x:f>
        <x:v>267</x:v>
      </x:c>
      <x:c r="B279" t="n">
        <x:f>RAND()</x:f>
        <x:v>0.5356290816165777</x:v>
      </x:c>
      <x:c r="C279" t="n">
        <x:f>MIN(47,INT(B279*47)+1)</x:f>
        <x:v>26</x:v>
      </x:c>
      <x:c r="D279" t="n">
        <x:f>INDEX(Datos_47_semanas!$B$4:$B$50,C279)</x:f>
        <x:v>183</x:v>
      </x:c>
      <x:c r="E279" t="n">
        <x:f>MIN($B$4,D279)*$B$7+MAX($B$4-D279,0)*$B$9-$B$4*$B$8</x:f>
        <x:v>109.55000000000001</x:v>
      </x:c>
      <x:c r="F279" t="n">
        <x:f>MIN($B$5,D279)*$B$7+MAX($B$5-D279,0)*$B$9-$B$5*$B$8</x:f>
        <x:v>82.05000000000001</x:v>
      </x:c>
      <x:c r="G279" t="n">
        <x:f>MIN($B$6,D279)*$B$7+MAX($B$6-D279,0)*$B$9-$B$6*$B$8</x:f>
        <x:v>27.049999999999955</x:v>
      </x:c>
      <x:c r="H279" t="n">
        <x:f>MAX(D279-$B$5,0)</x:f>
        <x:v>0</x:v>
      </x:c>
      <x:c r="I279" t="n">
        <x:f>MAX($B$5-D279,0)</x:f>
        <x:v>117</x:v>
      </x:c>
    </x:row>
    <x:row r="280">
      <x:c r="A280" t="n">
        <x:f>268</x:f>
        <x:v>268</x:v>
      </x:c>
      <x:c r="B280" t="n">
        <x:f>RAND()</x:f>
        <x:v>0.595657066658155</x:v>
      </x:c>
      <x:c r="C280" t="n">
        <x:f>MIN(47,INT(B280*47)+1)</x:f>
        <x:v>28</x:v>
      </x:c>
      <x:c r="D280" t="n">
        <x:f>INDEX(Datos_47_semanas!$B$4:$B$50,C280)</x:f>
        <x:v>201</x:v>
      </x:c>
      <x:c r="E280" t="n">
        <x:f>MIN($B$4,D280)*$B$7+MAX($B$4-D280,0)*$B$9-$B$4*$B$8</x:f>
        <x:v>133.84999999999997</x:v>
      </x:c>
      <x:c r="F280" t="n">
        <x:f>MIN($B$5,D280)*$B$7+MAX($B$5-D280,0)*$B$9-$B$5*$B$8</x:f>
        <x:v>106.34999999999997</x:v>
      </x:c>
      <x:c r="G280" t="n">
        <x:f>MIN($B$6,D280)*$B$7+MAX($B$6-D280,0)*$B$9-$B$6*$B$8</x:f>
        <x:v>51.349999999999966</x:v>
      </x:c>
      <x:c r="H280" t="n">
        <x:f>MAX(D280-$B$5,0)</x:f>
        <x:v>0</x:v>
      </x:c>
      <x:c r="I280" t="n">
        <x:f>MAX($B$5-D280,0)</x:f>
        <x:v>99</x:v>
      </x:c>
    </x:row>
    <x:row r="281">
      <x:c r="A281" t="n">
        <x:f>269</x:f>
        <x:v>269</x:v>
      </x:c>
      <x:c r="B281" t="n">
        <x:f>RAND()</x:f>
        <x:v>0.5748797990613962</x:v>
      </x:c>
      <x:c r="C281" t="n">
        <x:f>MIN(47,INT(B281*47)+1)</x:f>
        <x:v>28</x:v>
      </x:c>
      <x:c r="D281" t="n">
        <x:f>INDEX(Datos_47_semanas!$B$4:$B$50,C281)</x:f>
        <x:v>201</x:v>
      </x:c>
      <x:c r="E281" t="n">
        <x:f>MIN($B$4,D281)*$B$7+MAX($B$4-D281,0)*$B$9-$B$4*$B$8</x:f>
        <x:v>133.84999999999997</x:v>
      </x:c>
      <x:c r="F281" t="n">
        <x:f>MIN($B$5,D281)*$B$7+MAX($B$5-D281,0)*$B$9-$B$5*$B$8</x:f>
        <x:v>106.34999999999997</x:v>
      </x:c>
      <x:c r="G281" t="n">
        <x:f>MIN($B$6,D281)*$B$7+MAX($B$6-D281,0)*$B$9-$B$6*$B$8</x:f>
        <x:v>51.349999999999966</x:v>
      </x:c>
      <x:c r="H281" t="n">
        <x:f>MAX(D281-$B$5,0)</x:f>
        <x:v>0</x:v>
      </x:c>
      <x:c r="I281" t="n">
        <x:f>MAX($B$5-D281,0)</x:f>
        <x:v>99</x:v>
      </x:c>
    </x:row>
    <x:row r="282">
      <x:c r="A282" t="n">
        <x:f>270</x:f>
        <x:v>270</x:v>
      </x:c>
      <x:c r="B282" t="n">
        <x:f>RAND()</x:f>
        <x:v>0.7294213695520186</x:v>
      </x:c>
      <x:c r="C282" t="n">
        <x:f>MIN(47,INT(B282*47)+1)</x:f>
        <x:v>35</x:v>
      </x:c>
      <x:c r="D282" t="n">
        <x:f>INDEX(Datos_47_semanas!$B$4:$B$50,C282)</x:f>
        <x:v>192</x:v>
      </x:c>
      <x:c r="E282" t="n">
        <x:f>MIN($B$4,D282)*$B$7+MAX($B$4-D282,0)*$B$9-$B$4*$B$8</x:f>
        <x:v>121.69999999999993</x:v>
      </x:c>
      <x:c r="F282" t="n">
        <x:f>MIN($B$5,D282)*$B$7+MAX($B$5-D282,0)*$B$9-$B$5*$B$8</x:f>
        <x:v>94.19999999999993</x:v>
      </x:c>
      <x:c r="G282" t="n">
        <x:f>MIN($B$6,D282)*$B$7+MAX($B$6-D282,0)*$B$9-$B$6*$B$8</x:f>
        <x:v>39.19999999999993</x:v>
      </x:c>
      <x:c r="H282" t="n">
        <x:f>MAX(D282-$B$5,0)</x:f>
        <x:v>0</x:v>
      </x:c>
      <x:c r="I282" t="n">
        <x:f>MAX($B$5-D282,0)</x:f>
        <x:v>108</x:v>
      </x:c>
    </x:row>
    <x:row r="283">
      <x:c r="A283" t="n">
        <x:f>271</x:f>
        <x:v>271</x:v>
      </x:c>
      <x:c r="B283" t="n">
        <x:f>RAND()</x:f>
        <x:v>0.9982301362986398</x:v>
      </x:c>
      <x:c r="C283" t="n">
        <x:f>MIN(47,INT(B283*47)+1)</x:f>
        <x:v>47</x:v>
      </x:c>
      <x:c r="D283" t="n">
        <x:f>INDEX(Datos_47_semanas!$B$4:$B$50,C283)</x:f>
        <x:v>256</x:v>
      </x:c>
      <x:c r="E283" t="n">
        <x:f>MIN($B$4,D283)*$B$7+MAX($B$4-D283,0)*$B$9-$B$4*$B$8</x:f>
        <x:v>200</x:v>
      </x:c>
      <x:c r="F283" t="n">
        <x:f>MIN($B$5,D283)*$B$7+MAX($B$5-D283,0)*$B$9-$B$5*$B$8</x:f>
        <x:v>180.59999999999997</x:v>
      </x:c>
      <x:c r="G283" t="n">
        <x:f>MIN($B$6,D283)*$B$7+MAX($B$6-D283,0)*$B$9-$B$6*$B$8</x:f>
        <x:v>125.59999999999997</x:v>
      </x:c>
      <x:c r="H283" t="n">
        <x:f>MAX(D283-$B$5,0)</x:f>
        <x:v>0</x:v>
      </x:c>
      <x:c r="I283" t="n">
        <x:f>MAX($B$5-D283,0)</x:f>
        <x:v>44</x:v>
      </x:c>
    </x:row>
    <x:row r="284">
      <x:c r="A284" t="n">
        <x:f>272</x:f>
        <x:v>272</x:v>
      </x:c>
      <x:c r="B284" t="n">
        <x:f>RAND()</x:f>
        <x:v>0.20887936796913198</x:v>
      </x:c>
      <x:c r="C284" t="n">
        <x:f>MIN(47,INT(B284*47)+1)</x:f>
        <x:v>10</x:v>
      </x:c>
      <x:c r="D284" t="n">
        <x:f>INDEX(Datos_47_semanas!$B$4:$B$50,C284)</x:f>
        <x:v>98</x:v>
      </x:c>
      <x:c r="E284" t="n">
        <x:f>MIN($B$4,D284)*$B$7+MAX($B$4-D284,0)*$B$9-$B$4*$B$8</x:f>
        <x:v>-5.200000000000017</x:v>
      </x:c>
      <x:c r="F284" t="n">
        <x:f>MIN($B$5,D284)*$B$7+MAX($B$5-D284,0)*$B$9-$B$5*$B$8</x:f>
        <x:v>-32.70000000000002</x:v>
      </x:c>
      <x:c r="G284" t="n">
        <x:f>MIN($B$6,D284)*$B$7+MAX($B$6-D284,0)*$B$9-$B$6*$B$8</x:f>
        <x:v>-87.70000000000002</x:v>
      </x:c>
      <x:c r="H284" t="n">
        <x:f>MAX(D284-$B$5,0)</x:f>
        <x:v>0</x:v>
      </x:c>
      <x:c r="I284" t="n">
        <x:f>MAX($B$5-D284,0)</x:f>
        <x:v>202</x:v>
      </x:c>
    </x:row>
    <x:row r="285">
      <x:c r="A285" t="n">
        <x:f>273</x:f>
        <x:v>273</x:v>
      </x:c>
      <x:c r="B285" t="n">
        <x:f>RAND()</x:f>
        <x:v>0.903893502286315</x:v>
      </x:c>
      <x:c r="C285" t="n">
        <x:f>MIN(47,INT(B285*47)+1)</x:f>
        <x:v>43</x:v>
      </x:c>
      <x:c r="D285" t="n">
        <x:f>INDEX(Datos_47_semanas!$B$4:$B$50,C285)</x:f>
        <x:v>234</x:v>
      </x:c>
      <x:c r="E285" t="n">
        <x:f>MIN($B$4,D285)*$B$7+MAX($B$4-D285,0)*$B$9-$B$4*$B$8</x:f>
        <x:v>178.39999999999998</x:v>
      </x:c>
      <x:c r="F285" t="n">
        <x:f>MIN($B$5,D285)*$B$7+MAX($B$5-D285,0)*$B$9-$B$5*$B$8</x:f>
        <x:v>150.89999999999998</x:v>
      </x:c>
      <x:c r="G285" t="n">
        <x:f>MIN($B$6,D285)*$B$7+MAX($B$6-D285,0)*$B$9-$B$6*$B$8</x:f>
        <x:v>95.89999999999998</x:v>
      </x:c>
      <x:c r="H285" t="n">
        <x:f>MAX(D285-$B$5,0)</x:f>
        <x:v>0</x:v>
      </x:c>
      <x:c r="I285" t="n">
        <x:f>MAX($B$5-D285,0)</x:f>
        <x:v>66</x:v>
      </x:c>
    </x:row>
    <x:row r="286">
      <x:c r="A286" t="n">
        <x:f>274</x:f>
        <x:v>274</x:v>
      </x:c>
      <x:c r="B286" t="n">
        <x:f>RAND()</x:f>
        <x:v>0.5772158756406609</x:v>
      </x:c>
      <x:c r="C286" t="n">
        <x:f>MIN(47,INT(B286*47)+1)</x:f>
        <x:v>28</x:v>
      </x:c>
      <x:c r="D286" t="n">
        <x:f>INDEX(Datos_47_semanas!$B$4:$B$50,C286)</x:f>
        <x:v>201</x:v>
      </x:c>
      <x:c r="E286" t="n">
        <x:f>MIN($B$4,D286)*$B$7+MAX($B$4-D286,0)*$B$9-$B$4*$B$8</x:f>
        <x:v>133.84999999999997</x:v>
      </x:c>
      <x:c r="F286" t="n">
        <x:f>MIN($B$5,D286)*$B$7+MAX($B$5-D286,0)*$B$9-$B$5*$B$8</x:f>
        <x:v>106.34999999999997</x:v>
      </x:c>
      <x:c r="G286" t="n">
        <x:f>MIN($B$6,D286)*$B$7+MAX($B$6-D286,0)*$B$9-$B$6*$B$8</x:f>
        <x:v>51.349999999999966</x:v>
      </x:c>
      <x:c r="H286" t="n">
        <x:f>MAX(D286-$B$5,0)</x:f>
        <x:v>0</x:v>
      </x:c>
      <x:c r="I286" t="n">
        <x:f>MAX($B$5-D286,0)</x:f>
        <x:v>99</x:v>
      </x:c>
    </x:row>
    <x:row r="287">
      <x:c r="A287" t="n">
        <x:f>275</x:f>
        <x:v>275</x:v>
      </x:c>
      <x:c r="B287" t="n">
        <x:f>RAND()</x:f>
        <x:v>0.4043697598729674</x:v>
      </x:c>
      <x:c r="C287" t="n">
        <x:f>MIN(47,INT(B287*47)+1)</x:f>
        <x:v>20</x:v>
      </x:c>
      <x:c r="D287" t="n">
        <x:f>INDEX(Datos_47_semanas!$B$4:$B$50,C287)</x:f>
        <x:v>335</x:v>
      </x:c>
      <x:c r="E287" t="n">
        <x:f>MIN($B$4,D287)*$B$7+MAX($B$4-D287,0)*$B$9-$B$4*$B$8</x:f>
        <x:v>200</x:v>
      </x:c>
      <x:c r="F287" t="n">
        <x:f>MIN($B$5,D287)*$B$7+MAX($B$5-D287,0)*$B$9-$B$5*$B$8</x:f>
        <x:v>240</x:v>
      </x:c>
      <x:c r="G287" t="n">
        <x:f>MIN($B$6,D287)*$B$7+MAX($B$6-D287,0)*$B$9-$B$6*$B$8</x:f>
        <x:v>232.25</x:v>
      </x:c>
      <x:c r="H287" t="n">
        <x:f>MAX(D287-$B$5,0)</x:f>
        <x:v>35</x:v>
      </x:c>
      <x:c r="I287" t="n">
        <x:f>MAX($B$5-D287,0)</x:f>
        <x:v>0</x:v>
      </x:c>
    </x:row>
    <x:row r="288">
      <x:c r="A288" t="n">
        <x:f>276</x:f>
        <x:v>276</x:v>
      </x:c>
      <x:c r="B288" t="n">
        <x:f>RAND()</x:f>
        <x:v>0.6095762181584442</x:v>
      </x:c>
      <x:c r="C288" t="n">
        <x:f>MIN(47,INT(B288*47)+1)</x:f>
        <x:v>29</x:v>
      </x:c>
      <x:c r="D288" t="n">
        <x:f>INDEX(Datos_47_semanas!$B$4:$B$50,C288)</x:f>
        <x:v>415</x:v>
      </x:c>
      <x:c r="E288" t="n">
        <x:f>MIN($B$4,D288)*$B$7+MAX($B$4-D288,0)*$B$9-$B$4*$B$8</x:f>
        <x:v>200</x:v>
      </x:c>
      <x:c r="F288" t="n">
        <x:f>MIN($B$5,D288)*$B$7+MAX($B$5-D288,0)*$B$9-$B$5*$B$8</x:f>
        <x:v>240</x:v>
      </x:c>
      <x:c r="G288" t="n">
        <x:f>MIN($B$6,D288)*$B$7+MAX($B$6-D288,0)*$B$9-$B$6*$B$8</x:f>
        <x:v>320</x:v>
      </x:c>
      <x:c r="H288" t="n">
        <x:f>MAX(D288-$B$5,0)</x:f>
        <x:v>115</x:v>
      </x:c>
      <x:c r="I288" t="n">
        <x:f>MAX($B$5-D288,0)</x:f>
        <x:v>0</x:v>
      </x:c>
    </x:row>
    <x:row r="289">
      <x:c r="A289" t="n">
        <x:f>277</x:f>
        <x:v>277</x:v>
      </x:c>
      <x:c r="B289" t="n">
        <x:f>RAND()</x:f>
        <x:v>0.611112555255712</x:v>
      </x:c>
      <x:c r="C289" t="n">
        <x:f>MIN(47,INT(B289*47)+1)</x:f>
        <x:v>29</x:v>
      </x:c>
      <x:c r="D289" t="n">
        <x:f>INDEX(Datos_47_semanas!$B$4:$B$50,C289)</x:f>
        <x:v>415</x:v>
      </x:c>
      <x:c r="E289" t="n">
        <x:f>MIN($B$4,D289)*$B$7+MAX($B$4-D289,0)*$B$9-$B$4*$B$8</x:f>
        <x:v>200</x:v>
      </x:c>
      <x:c r="F289" t="n">
        <x:f>MIN($B$5,D289)*$B$7+MAX($B$5-D289,0)*$B$9-$B$5*$B$8</x:f>
        <x:v>240</x:v>
      </x:c>
      <x:c r="G289" t="n">
        <x:f>MIN($B$6,D289)*$B$7+MAX($B$6-D289,0)*$B$9-$B$6*$B$8</x:f>
        <x:v>320</x:v>
      </x:c>
      <x:c r="H289" t="n">
        <x:f>MAX(D289-$B$5,0)</x:f>
        <x:v>115</x:v>
      </x:c>
      <x:c r="I289" t="n">
        <x:f>MAX($B$5-D289,0)</x:f>
        <x:v>0</x:v>
      </x:c>
    </x:row>
    <x:row r="290">
      <x:c r="A290" t="n">
        <x:f>278</x:f>
        <x:v>278</x:v>
      </x:c>
      <x:c r="B290" t="n">
        <x:f>RAND()</x:f>
        <x:v>0.8359039816719602</x:v>
      </x:c>
      <x:c r="C290" t="n">
        <x:f>MIN(47,INT(B290*47)+1)</x:f>
        <x:v>40</x:v>
      </x:c>
      <x:c r="D290" t="n">
        <x:f>INDEX(Datos_47_semanas!$B$4:$B$50,C290)</x:f>
        <x:v>278</x:v>
      </x:c>
      <x:c r="E290" t="n">
        <x:f>MIN($B$4,D290)*$B$7+MAX($B$4-D290,0)*$B$9-$B$4*$B$8</x:f>
        <x:v>200</x:v>
      </x:c>
      <x:c r="F290" t="n">
        <x:f>MIN($B$5,D290)*$B$7+MAX($B$5-D290,0)*$B$9-$B$5*$B$8</x:f>
        <x:v>210.3</x:v>
      </x:c>
      <x:c r="G290" t="n">
        <x:f>MIN($B$6,D290)*$B$7+MAX($B$6-D290,0)*$B$9-$B$6*$B$8</x:f>
        <x:v>155.3</x:v>
      </x:c>
      <x:c r="H290" t="n">
        <x:f>MAX(D290-$B$5,0)</x:f>
        <x:v>0</x:v>
      </x:c>
      <x:c r="I290" t="n">
        <x:f>MAX($B$5-D290,0)</x:f>
        <x:v>22</x:v>
      </x:c>
    </x:row>
    <x:row r="291">
      <x:c r="A291" t="n">
        <x:f>279</x:f>
        <x:v>279</x:v>
      </x:c>
      <x:c r="B291" t="n">
        <x:f>RAND()</x:f>
        <x:v>0.02137801524499583</x:v>
      </x:c>
      <x:c r="C291" t="n">
        <x:f>MIN(47,INT(B291*47)+1)</x:f>
        <x:v>2</x:v>
      </x:c>
      <x:c r="D291" t="n">
        <x:f>INDEX(Datos_47_semanas!$B$4:$B$50,C291)</x:f>
        <x:v>282</x:v>
      </x:c>
      <x:c r="E291" t="n">
        <x:f>MIN($B$4,D291)*$B$7+MAX($B$4-D291,0)*$B$9-$B$4*$B$8</x:f>
        <x:v>200</x:v>
      </x:c>
      <x:c r="F291" t="n">
        <x:f>MIN($B$5,D291)*$B$7+MAX($B$5-D291,0)*$B$9-$B$5*$B$8</x:f>
        <x:v>215.69999999999993</x:v>
      </x:c>
      <x:c r="G291" t="n">
        <x:f>MIN($B$6,D291)*$B$7+MAX($B$6-D291,0)*$B$9-$B$6*$B$8</x:f>
        <x:v>160.69999999999993</x:v>
      </x:c>
      <x:c r="H291" t="n">
        <x:f>MAX(D291-$B$5,0)</x:f>
        <x:v>0</x:v>
      </x:c>
      <x:c r="I291" t="n">
        <x:f>MAX($B$5-D291,0)</x:f>
        <x:v>18</x:v>
      </x:c>
    </x:row>
    <x:row r="292">
      <x:c r="A292" t="n">
        <x:f>280</x:f>
        <x:v>280</x:v>
      </x:c>
      <x:c r="B292" t="n">
        <x:f>RAND()</x:f>
        <x:v>0.8806543113465358</x:v>
      </x:c>
      <x:c r="C292" t="n">
        <x:f>MIN(47,INT(B292*47)+1)</x:f>
        <x:v>42</x:v>
      </x:c>
      <x:c r="D292" t="n">
        <x:f>INDEX(Datos_47_semanas!$B$4:$B$50,C292)</x:f>
        <x:v>146</x:v>
      </x:c>
      <x:c r="E292" t="n">
        <x:f>MIN($B$4,D292)*$B$7+MAX($B$4-D292,0)*$B$9-$B$4*$B$8</x:f>
        <x:v>59.599999999999966</x:v>
      </x:c>
      <x:c r="F292" t="n">
        <x:f>MIN($B$5,D292)*$B$7+MAX($B$5-D292,0)*$B$9-$B$5*$B$8</x:f>
        <x:v>32.099999999999966</x:v>
      </x:c>
      <x:c r="G292" t="n">
        <x:f>MIN($B$6,D292)*$B$7+MAX($B$6-D292,0)*$B$9-$B$6*$B$8</x:f>
        <x:v>-22.900000000000034</x:v>
      </x:c>
      <x:c r="H292" t="n">
        <x:f>MAX(D292-$B$5,0)</x:f>
        <x:v>0</x:v>
      </x:c>
      <x:c r="I292" t="n">
        <x:f>MAX($B$5-D292,0)</x:f>
        <x:v>154</x:v>
      </x:c>
    </x:row>
    <x:row r="293">
      <x:c r="A293" t="n">
        <x:f>281</x:f>
        <x:v>281</x:v>
      </x:c>
      <x:c r="B293" t="n">
        <x:f>RAND()</x:f>
        <x:v>0.6514687233162807</x:v>
      </x:c>
      <x:c r="C293" t="n">
        <x:f>MIN(47,INT(B293*47)+1)</x:f>
        <x:v>31</x:v>
      </x:c>
      <x:c r="D293" t="n">
        <x:f>INDEX(Datos_47_semanas!$B$4:$B$50,C293)</x:f>
        <x:v>583</x:v>
      </x:c>
      <x:c r="E293" t="n">
        <x:f>MIN($B$4,D293)*$B$7+MAX($B$4-D293,0)*$B$9-$B$4*$B$8</x:f>
        <x:v>200</x:v>
      </x:c>
      <x:c r="F293" t="n">
        <x:f>MIN($B$5,D293)*$B$7+MAX($B$5-D293,0)*$B$9-$B$5*$B$8</x:f>
        <x:v>240</x:v>
      </x:c>
      <x:c r="G293" t="n">
        <x:f>MIN($B$6,D293)*$B$7+MAX($B$6-D293,0)*$B$9-$B$6*$B$8</x:f>
        <x:v>320</x:v>
      </x:c>
      <x:c r="H293" t="n">
        <x:f>MAX(D293-$B$5,0)</x:f>
        <x:v>283</x:v>
      </x:c>
      <x:c r="I293" t="n">
        <x:f>MAX($B$5-D293,0)</x:f>
        <x:v>0</x:v>
      </x:c>
    </x:row>
    <x:row r="294">
      <x:c r="A294" t="n">
        <x:f>282</x:f>
        <x:v>282</x:v>
      </x:c>
      <x:c r="B294" t="n">
        <x:f>RAND()</x:f>
        <x:v>0.6444321335878546</x:v>
      </x:c>
      <x:c r="C294" t="n">
        <x:f>MIN(47,INT(B294*47)+1)</x:f>
        <x:v>31</x:v>
      </x:c>
      <x:c r="D294" t="n">
        <x:f>INDEX(Datos_47_semanas!$B$4:$B$50,C294)</x:f>
        <x:v>583</x:v>
      </x:c>
      <x:c r="E294" t="n">
        <x:f>MIN($B$4,D294)*$B$7+MAX($B$4-D294,0)*$B$9-$B$4*$B$8</x:f>
        <x:v>200</x:v>
      </x:c>
      <x:c r="F294" t="n">
        <x:f>MIN($B$5,D294)*$B$7+MAX($B$5-D294,0)*$B$9-$B$5*$B$8</x:f>
        <x:v>240</x:v>
      </x:c>
      <x:c r="G294" t="n">
        <x:f>MIN($B$6,D294)*$B$7+MAX($B$6-D294,0)*$B$9-$B$6*$B$8</x:f>
        <x:v>320</x:v>
      </x:c>
      <x:c r="H294" t="n">
        <x:f>MAX(D294-$B$5,0)</x:f>
        <x:v>283</x:v>
      </x:c>
      <x:c r="I294" t="n">
        <x:f>MAX($B$5-D294,0)</x:f>
        <x:v>0</x:v>
      </x:c>
    </x:row>
    <x:row r="295">
      <x:c r="A295" t="n">
        <x:f>283</x:f>
        <x:v>283</x:v>
      </x:c>
      <x:c r="B295" t="n">
        <x:f>RAND()</x:f>
        <x:v>0.7545220255636981</x:v>
      </x:c>
      <x:c r="C295" t="n">
        <x:f>MIN(47,INT(B295*47)+1)</x:f>
        <x:v>36</x:v>
      </x:c>
      <x:c r="D295" t="n">
        <x:f>INDEX(Datos_47_semanas!$B$4:$B$50,C295)</x:f>
        <x:v>304</x:v>
      </x:c>
      <x:c r="E295" t="n">
        <x:f>MIN($B$4,D295)*$B$7+MAX($B$4-D295,0)*$B$9-$B$4*$B$8</x:f>
        <x:v>200</x:v>
      </x:c>
      <x:c r="F295" t="n">
        <x:f>MIN($B$5,D295)*$B$7+MAX($B$5-D295,0)*$B$9-$B$5*$B$8</x:f>
        <x:v>240</x:v>
      </x:c>
      <x:c r="G295" t="n">
        <x:f>MIN($B$6,D295)*$B$7+MAX($B$6-D295,0)*$B$9-$B$6*$B$8</x:f>
        <x:v>190.39999999999998</x:v>
      </x:c>
      <x:c r="H295" t="n">
        <x:f>MAX(D295-$B$5,0)</x:f>
        <x:v>4</x:v>
      </x:c>
      <x:c r="I295" t="n">
        <x:f>MAX($B$5-D295,0)</x:f>
        <x:v>0</x:v>
      </x:c>
    </x:row>
    <x:row r="296">
      <x:c r="A296" t="n">
        <x:f>284</x:f>
        <x:v>284</x:v>
      </x:c>
      <x:c r="B296" t="n">
        <x:f>RAND()</x:f>
        <x:v>0.3415868678169911</x:v>
      </x:c>
      <x:c r="C296" t="n">
        <x:f>MIN(47,INT(B296*47)+1)</x:f>
        <x:v>17</x:v>
      </x:c>
      <x:c r="D296" t="n">
        <x:f>INDEX(Datos_47_semanas!$B$4:$B$50,C296)</x:f>
        <x:v>154</x:v>
      </x:c>
      <x:c r="E296" t="n">
        <x:f>MIN($B$4,D296)*$B$7+MAX($B$4-D296,0)*$B$9-$B$4*$B$8</x:f>
        <x:v>70.39999999999998</x:v>
      </x:c>
      <x:c r="F296" t="n">
        <x:f>MIN($B$5,D296)*$B$7+MAX($B$5-D296,0)*$B$9-$B$5*$B$8</x:f>
        <x:v>42.89999999999998</x:v>
      </x:c>
      <x:c r="G296" t="n">
        <x:f>MIN($B$6,D296)*$B$7+MAX($B$6-D296,0)*$B$9-$B$6*$B$8</x:f>
        <x:v>-12.100000000000023</x:v>
      </x:c>
      <x:c r="H296" t="n">
        <x:f>MAX(D296-$B$5,0)</x:f>
        <x:v>0</x:v>
      </x:c>
      <x:c r="I296" t="n">
        <x:f>MAX($B$5-D296,0)</x:f>
        <x:v>146</x:v>
      </x:c>
    </x:row>
    <x:row r="297">
      <x:c r="A297" t="n">
        <x:f>285</x:f>
        <x:v>285</x:v>
      </x:c>
      <x:c r="B297" t="n">
        <x:f>RAND()</x:f>
        <x:v>0.09087625291217682</x:v>
      </x:c>
      <x:c r="C297" t="n">
        <x:f>MIN(47,INT(B297*47)+1)</x:f>
        <x:v>5</x:v>
      </x:c>
      <x:c r="D297" t="n">
        <x:f>INDEX(Datos_47_semanas!$B$4:$B$50,C297)</x:f>
        <x:v>347</x:v>
      </x:c>
      <x:c r="E297" t="n">
        <x:f>MIN($B$4,D297)*$B$7+MAX($B$4-D297,0)*$B$9-$B$4*$B$8</x:f>
        <x:v>200</x:v>
      </x:c>
      <x:c r="F297" t="n">
        <x:f>MIN($B$5,D297)*$B$7+MAX($B$5-D297,0)*$B$9-$B$5*$B$8</x:f>
        <x:v>240</x:v>
      </x:c>
      <x:c r="G297" t="n">
        <x:f>MIN($B$6,D297)*$B$7+MAX($B$6-D297,0)*$B$9-$B$6*$B$8</x:f>
        <x:v>248.44999999999993</x:v>
      </x:c>
      <x:c r="H297" t="n">
        <x:f>MAX(D297-$B$5,0)</x:f>
        <x:v>47</x:v>
      </x:c>
      <x:c r="I297" t="n">
        <x:f>MAX($B$5-D297,0)</x:f>
        <x:v>0</x:v>
      </x:c>
    </x:row>
    <x:row r="298">
      <x:c r="A298" t="n">
        <x:f>286</x:f>
        <x:v>286</x:v>
      </x:c>
      <x:c r="B298" t="n">
        <x:f>RAND()</x:f>
        <x:v>0.3857625742309818</x:v>
      </x:c>
      <x:c r="C298" t="n">
        <x:f>MIN(47,INT(B298*47)+1)</x:f>
        <x:v>19</x:v>
      </x:c>
      <x:c r="D298" t="n">
        <x:f>INDEX(Datos_47_semanas!$B$4:$B$50,C298)</x:f>
        <x:v>470</x:v>
      </x:c>
      <x:c r="E298" t="n">
        <x:f>MIN($B$4,D298)*$B$7+MAX($B$4-D298,0)*$B$9-$B$4*$B$8</x:f>
        <x:v>200</x:v>
      </x:c>
      <x:c r="F298" t="n">
        <x:f>MIN($B$5,D298)*$B$7+MAX($B$5-D298,0)*$B$9-$B$5*$B$8</x:f>
        <x:v>240</x:v>
      </x:c>
      <x:c r="G298" t="n">
        <x:f>MIN($B$6,D298)*$B$7+MAX($B$6-D298,0)*$B$9-$B$6*$B$8</x:f>
        <x:v>320</x:v>
      </x:c>
      <x:c r="H298" t="n">
        <x:f>MAX(D298-$B$5,0)</x:f>
        <x:v>170</x:v>
      </x:c>
      <x:c r="I298" t="n">
        <x:f>MAX($B$5-D298,0)</x:f>
        <x:v>0</x:v>
      </x:c>
    </x:row>
    <x:row r="299">
      <x:c r="A299" t="n">
        <x:f>287</x:f>
        <x:v>287</x:v>
      </x:c>
      <x:c r="B299" t="n">
        <x:f>RAND()</x:f>
        <x:v>0.5160924166928903</x:v>
      </x:c>
      <x:c r="C299" t="n">
        <x:f>MIN(47,INT(B299*47)+1)</x:f>
        <x:v>25</x:v>
      </x:c>
      <x:c r="D299" t="n">
        <x:f>INDEX(Datos_47_semanas!$B$4:$B$50,C299)</x:f>
        <x:v>218</x:v>
      </x:c>
      <x:c r="E299" t="n">
        <x:f>MIN($B$4,D299)*$B$7+MAX($B$4-D299,0)*$B$9-$B$4*$B$8</x:f>
        <x:v>156.8</x:v>
      </x:c>
      <x:c r="F299" t="n">
        <x:f>MIN($B$5,D299)*$B$7+MAX($B$5-D299,0)*$B$9-$B$5*$B$8</x:f>
        <x:v>129.3</x:v>
      </x:c>
      <x:c r="G299" t="n">
        <x:f>MIN($B$6,D299)*$B$7+MAX($B$6-D299,0)*$B$9-$B$6*$B$8</x:f>
        <x:v>74.30000000000001</x:v>
      </x:c>
      <x:c r="H299" t="n">
        <x:f>MAX(D299-$B$5,0)</x:f>
        <x:v>0</x:v>
      </x:c>
      <x:c r="I299" t="n">
        <x:f>MAX($B$5-D299,0)</x:f>
        <x:v>82</x:v>
      </x:c>
    </x:row>
    <x:row r="300">
      <x:c r="A300" t="n">
        <x:f>288</x:f>
        <x:v>288</x:v>
      </x:c>
      <x:c r="B300" t="n">
        <x:f>RAND()</x:f>
        <x:v>0.08461568604550529</x:v>
      </x:c>
      <x:c r="C300" t="n">
        <x:f>MIN(47,INT(B300*47)+1)</x:f>
        <x:v>4</x:v>
      </x:c>
      <x:c r="D300" t="n">
        <x:f>INDEX(Datos_47_semanas!$B$4:$B$50,C300)</x:f>
        <x:v>161</x:v>
      </x:c>
      <x:c r="E300" t="n">
        <x:f>MIN($B$4,D300)*$B$7+MAX($B$4-D300,0)*$B$9-$B$4*$B$8</x:f>
        <x:v>79.84999999999997</x:v>
      </x:c>
      <x:c r="F300" t="n">
        <x:f>MIN($B$5,D300)*$B$7+MAX($B$5-D300,0)*$B$9-$B$5*$B$8</x:f>
        <x:v>52.349999999999966</x:v>
      </x:c>
      <x:c r="G300" t="n">
        <x:f>MIN($B$6,D300)*$B$7+MAX($B$6-D300,0)*$B$9-$B$6*$B$8</x:f>
        <x:v>-2.650000000000034</x:v>
      </x:c>
      <x:c r="H300" t="n">
        <x:f>MAX(D300-$B$5,0)</x:f>
        <x:v>0</x:v>
      </x:c>
      <x:c r="I300" t="n">
        <x:f>MAX($B$5-D300,0)</x:f>
        <x:v>139</x:v>
      </x:c>
    </x:row>
    <x:row r="301">
      <x:c r="A301" t="n">
        <x:f>289</x:f>
        <x:v>289</x:v>
      </x:c>
      <x:c r="B301" t="n">
        <x:f>RAND()</x:f>
        <x:v>0.08499253845917709</x:v>
      </x:c>
      <x:c r="C301" t="n">
        <x:f>MIN(47,INT(B301*47)+1)</x:f>
        <x:v>4</x:v>
      </x:c>
      <x:c r="D301" t="n">
        <x:f>INDEX(Datos_47_semanas!$B$4:$B$50,C301)</x:f>
        <x:v>161</x:v>
      </x:c>
      <x:c r="E301" t="n">
        <x:f>MIN($B$4,D301)*$B$7+MAX($B$4-D301,0)*$B$9-$B$4*$B$8</x:f>
        <x:v>79.84999999999997</x:v>
      </x:c>
      <x:c r="F301" t="n">
        <x:f>MIN($B$5,D301)*$B$7+MAX($B$5-D301,0)*$B$9-$B$5*$B$8</x:f>
        <x:v>52.349999999999966</x:v>
      </x:c>
      <x:c r="G301" t="n">
        <x:f>MIN($B$6,D301)*$B$7+MAX($B$6-D301,0)*$B$9-$B$6*$B$8</x:f>
        <x:v>-2.650000000000034</x:v>
      </x:c>
      <x:c r="H301" t="n">
        <x:f>MAX(D301-$B$5,0)</x:f>
        <x:v>0</x:v>
      </x:c>
      <x:c r="I301" t="n">
        <x:f>MAX($B$5-D301,0)</x:f>
        <x:v>139</x:v>
      </x:c>
    </x:row>
    <x:row r="302">
      <x:c r="A302" t="n">
        <x:f>290</x:f>
        <x:v>290</x:v>
      </x:c>
      <x:c r="B302" t="n">
        <x:f>RAND()</x:f>
        <x:v>0.2991782541764758</x:v>
      </x:c>
      <x:c r="C302" t="n">
        <x:f>MIN(47,INT(B302*47)+1)</x:f>
        <x:v>15</x:v>
      </x:c>
      <x:c r="D302" t="n">
        <x:f>INDEX(Datos_47_semanas!$B$4:$B$50,C302)</x:f>
        <x:v>275</x:v>
      </x:c>
      <x:c r="E302" t="n">
        <x:f>MIN($B$4,D302)*$B$7+MAX($B$4-D302,0)*$B$9-$B$4*$B$8</x:f>
        <x:v>200</x:v>
      </x:c>
      <x:c r="F302" t="n">
        <x:f>MIN($B$5,D302)*$B$7+MAX($B$5-D302,0)*$B$9-$B$5*$B$8</x:f>
        <x:v>206.25</x:v>
      </x:c>
      <x:c r="G302" t="n">
        <x:f>MIN($B$6,D302)*$B$7+MAX($B$6-D302,0)*$B$9-$B$6*$B$8</x:f>
        <x:v>151.25</x:v>
      </x:c>
      <x:c r="H302" t="n">
        <x:f>MAX(D302-$B$5,0)</x:f>
        <x:v>0</x:v>
      </x:c>
      <x:c r="I302" t="n">
        <x:f>MAX($B$5-D302,0)</x:f>
        <x:v>25</x:v>
      </x:c>
    </x:row>
    <x:row r="303">
      <x:c r="A303" t="n">
        <x:f>291</x:f>
        <x:v>291</x:v>
      </x:c>
      <x:c r="B303" t="n">
        <x:f>RAND()</x:f>
        <x:v>0.15133331723921284</x:v>
      </x:c>
      <x:c r="C303" t="n">
        <x:f>MIN(47,INT(B303*47)+1)</x:f>
        <x:v>8</x:v>
      </x:c>
      <x:c r="D303" t="n">
        <x:f>INDEX(Datos_47_semanas!$B$4:$B$50,C303)</x:f>
        <x:v>259</x:v>
      </x:c>
      <x:c r="E303" t="n">
        <x:f>MIN($B$4,D303)*$B$7+MAX($B$4-D303,0)*$B$9-$B$4*$B$8</x:f>
        <x:v>200</x:v>
      </x:c>
      <x:c r="F303" t="n">
        <x:f>MIN($B$5,D303)*$B$7+MAX($B$5-D303,0)*$B$9-$B$5*$B$8</x:f>
        <x:v>184.64999999999998</x:v>
      </x:c>
      <x:c r="G303" t="n">
        <x:f>MIN($B$6,D303)*$B$7+MAX($B$6-D303,0)*$B$9-$B$6*$B$8</x:f>
        <x:v>129.64999999999998</x:v>
      </x:c>
      <x:c r="H303" t="n">
        <x:f>MAX(D303-$B$5,0)</x:f>
        <x:v>0</x:v>
      </x:c>
      <x:c r="I303" t="n">
        <x:f>MAX($B$5-D303,0)</x:f>
        <x:v>41</x:v>
      </x:c>
    </x:row>
    <x:row r="304">
      <x:c r="A304" t="n">
        <x:f>292</x:f>
        <x:v>292</x:v>
      </x:c>
      <x:c r="B304" t="n">
        <x:f>RAND()</x:f>
        <x:v>0.44239405832930045</x:v>
      </x:c>
      <x:c r="C304" t="n">
        <x:f>MIN(47,INT(B304*47)+1)</x:f>
        <x:v>21</x:v>
      </x:c>
      <x:c r="D304" t="n">
        <x:f>INDEX(Datos_47_semanas!$B$4:$B$50,C304)</x:f>
        <x:v>424</x:v>
      </x:c>
      <x:c r="E304" t="n">
        <x:f>MIN($B$4,D304)*$B$7+MAX($B$4-D304,0)*$B$9-$B$4*$B$8</x:f>
        <x:v>200</x:v>
      </x:c>
      <x:c r="F304" t="n">
        <x:f>MIN($B$5,D304)*$B$7+MAX($B$5-D304,0)*$B$9-$B$5*$B$8</x:f>
        <x:v>240</x:v>
      </x:c>
      <x:c r="G304" t="n">
        <x:f>MIN($B$6,D304)*$B$7+MAX($B$6-D304,0)*$B$9-$B$6*$B$8</x:f>
        <x:v>320</x:v>
      </x:c>
      <x:c r="H304" t="n">
        <x:f>MAX(D304-$B$5,0)</x:f>
        <x:v>124</x:v>
      </x:c>
      <x:c r="I304" t="n">
        <x:f>MAX($B$5-D304,0)</x:f>
        <x:v>0</x:v>
      </x:c>
    </x:row>
    <x:row r="305">
      <x:c r="A305" t="n">
        <x:f>293</x:f>
        <x:v>293</x:v>
      </x:c>
      <x:c r="B305" t="n">
        <x:f>RAND()</x:f>
        <x:v>0.11111922354181825</x:v>
      </x:c>
      <x:c r="C305" t="n">
        <x:f>MIN(47,INT(B305*47)+1)</x:f>
        <x:v>6</x:v>
      </x:c>
      <x:c r="D305" t="n">
        <x:f>INDEX(Datos_47_semanas!$B$4:$B$50,C305)</x:f>
        <x:v>155</x:v>
      </x:c>
      <x:c r="E305" t="n">
        <x:f>MIN($B$4,D305)*$B$7+MAX($B$4-D305,0)*$B$9-$B$4*$B$8</x:f>
        <x:v>71.75</x:v>
      </x:c>
      <x:c r="F305" t="n">
        <x:f>MIN($B$5,D305)*$B$7+MAX($B$5-D305,0)*$B$9-$B$5*$B$8</x:f>
        <x:v>44.25</x:v>
      </x:c>
      <x:c r="G305" t="n">
        <x:f>MIN($B$6,D305)*$B$7+MAX($B$6-D305,0)*$B$9-$B$6*$B$8</x:f>
        <x:v>-10.75</x:v>
      </x:c>
      <x:c r="H305" t="n">
        <x:f>MAX(D305-$B$5,0)</x:f>
        <x:v>0</x:v>
      </x:c>
      <x:c r="I305" t="n">
        <x:f>MAX($B$5-D305,0)</x:f>
        <x:v>145</x:v>
      </x:c>
    </x:row>
    <x:row r="306">
      <x:c r="A306" t="n">
        <x:f>294</x:f>
        <x:v>294</x:v>
      </x:c>
      <x:c r="B306" t="n">
        <x:f>RAND()</x:f>
        <x:v>0.4138611079311635</x:v>
      </x:c>
      <x:c r="C306" t="n">
        <x:f>MIN(47,INT(B306*47)+1)</x:f>
        <x:v>20</x:v>
      </x:c>
      <x:c r="D306" t="n">
        <x:f>INDEX(Datos_47_semanas!$B$4:$B$50,C306)</x:f>
        <x:v>335</x:v>
      </x:c>
      <x:c r="E306" t="n">
        <x:f>MIN($B$4,D306)*$B$7+MAX($B$4-D306,0)*$B$9-$B$4*$B$8</x:f>
        <x:v>200</x:v>
      </x:c>
      <x:c r="F306" t="n">
        <x:f>MIN($B$5,D306)*$B$7+MAX($B$5-D306,0)*$B$9-$B$5*$B$8</x:f>
        <x:v>240</x:v>
      </x:c>
      <x:c r="G306" t="n">
        <x:f>MIN($B$6,D306)*$B$7+MAX($B$6-D306,0)*$B$9-$B$6*$B$8</x:f>
        <x:v>232.25</x:v>
      </x:c>
      <x:c r="H306" t="n">
        <x:f>MAX(D306-$B$5,0)</x:f>
        <x:v>35</x:v>
      </x:c>
      <x:c r="I306" t="n">
        <x:f>MAX($B$5-D306,0)</x:f>
        <x:v>0</x:v>
      </x:c>
    </x:row>
    <x:row r="307">
      <x:c r="A307" t="n">
        <x:f>295</x:f>
        <x:v>295</x:v>
      </x:c>
      <x:c r="B307" t="n">
        <x:f>RAND()</x:f>
        <x:v>0.7146662792035531</x:v>
      </x:c>
      <x:c r="C307" t="n">
        <x:f>MIN(47,INT(B307*47)+1)</x:f>
        <x:v>34</x:v>
      </x:c>
      <x:c r="D307" t="n">
        <x:f>INDEX(Datos_47_semanas!$B$4:$B$50,C307)</x:f>
        <x:v>281</x:v>
      </x:c>
      <x:c r="E307" t="n">
        <x:f>MIN($B$4,D307)*$B$7+MAX($B$4-D307,0)*$B$9-$B$4*$B$8</x:f>
        <x:v>200</x:v>
      </x:c>
      <x:c r="F307" t="n">
        <x:f>MIN($B$5,D307)*$B$7+MAX($B$5-D307,0)*$B$9-$B$5*$B$8</x:f>
        <x:v>214.34999999999997</x:v>
      </x:c>
      <x:c r="G307" t="n">
        <x:f>MIN($B$6,D307)*$B$7+MAX($B$6-D307,0)*$B$9-$B$6*$B$8</x:f>
        <x:v>159.34999999999997</x:v>
      </x:c>
      <x:c r="H307" t="n">
        <x:f>MAX(D307-$B$5,0)</x:f>
        <x:v>0</x:v>
      </x:c>
      <x:c r="I307" t="n">
        <x:f>MAX($B$5-D307,0)</x:f>
        <x:v>19</x:v>
      </x:c>
    </x:row>
    <x:row r="308">
      <x:c r="A308" t="n">
        <x:f>296</x:f>
        <x:v>296</x:v>
      </x:c>
      <x:c r="B308" t="n">
        <x:f>RAND()</x:f>
        <x:v>0.8971353213467668</x:v>
      </x:c>
      <x:c r="C308" t="n">
        <x:f>MIN(47,INT(B308*47)+1)</x:f>
        <x:v>43</x:v>
      </x:c>
      <x:c r="D308" t="n">
        <x:f>INDEX(Datos_47_semanas!$B$4:$B$50,C308)</x:f>
        <x:v>234</x:v>
      </x:c>
      <x:c r="E308" t="n">
        <x:f>MIN($B$4,D308)*$B$7+MAX($B$4-D308,0)*$B$9-$B$4*$B$8</x:f>
        <x:v>178.39999999999998</x:v>
      </x:c>
      <x:c r="F308" t="n">
        <x:f>MIN($B$5,D308)*$B$7+MAX($B$5-D308,0)*$B$9-$B$5*$B$8</x:f>
        <x:v>150.89999999999998</x:v>
      </x:c>
      <x:c r="G308" t="n">
        <x:f>MIN($B$6,D308)*$B$7+MAX($B$6-D308,0)*$B$9-$B$6*$B$8</x:f>
        <x:v>95.89999999999998</x:v>
      </x:c>
      <x:c r="H308" t="n">
        <x:f>MAX(D308-$B$5,0)</x:f>
        <x:v>0</x:v>
      </x:c>
      <x:c r="I308" t="n">
        <x:f>MAX($B$5-D308,0)</x:f>
        <x:v>66</x:v>
      </x:c>
    </x:row>
    <x:row r="309">
      <x:c r="A309" t="n">
        <x:f>297</x:f>
        <x:v>297</x:v>
      </x:c>
      <x:c r="B309" t="n">
        <x:f>RAND()</x:f>
        <x:v>0.38112136028902366</x:v>
      </x:c>
      <x:c r="C309" t="n">
        <x:f>MIN(47,INT(B309*47)+1)</x:f>
        <x:v>18</x:v>
      </x:c>
      <x:c r="D309" t="n">
        <x:f>INDEX(Datos_47_semanas!$B$4:$B$50,C309)</x:f>
        <x:v>219</x:v>
      </x:c>
      <x:c r="E309" t="n">
        <x:f>MIN($B$4,D309)*$B$7+MAX($B$4-D309,0)*$B$9-$B$4*$B$8</x:f>
        <x:v>158.14999999999998</x:v>
      </x:c>
      <x:c r="F309" t="n">
        <x:f>MIN($B$5,D309)*$B$7+MAX($B$5-D309,0)*$B$9-$B$5*$B$8</x:f>
        <x:v>130.64999999999998</x:v>
      </x:c>
      <x:c r="G309" t="n">
        <x:f>MIN($B$6,D309)*$B$7+MAX($B$6-D309,0)*$B$9-$B$6*$B$8</x:f>
        <x:v>75.64999999999998</x:v>
      </x:c>
      <x:c r="H309" t="n">
        <x:f>MAX(D309-$B$5,0)</x:f>
        <x:v>0</x:v>
      </x:c>
      <x:c r="I309" t="n">
        <x:f>MAX($B$5-D309,0)</x:f>
        <x:v>81</x:v>
      </x:c>
    </x:row>
    <x:row r="310">
      <x:c r="A310" t="n">
        <x:f>298</x:f>
        <x:v>298</x:v>
      </x:c>
      <x:c r="B310" t="n">
        <x:f>RAND()</x:f>
        <x:v>0.32220008879491113</x:v>
      </x:c>
      <x:c r="C310" t="n">
        <x:f>MIN(47,INT(B310*47)+1)</x:f>
        <x:v>16</x:v>
      </x:c>
      <x:c r="D310" t="n">
        <x:f>INDEX(Datos_47_semanas!$B$4:$B$50,C310)</x:f>
        <x:v>318</x:v>
      </x:c>
      <x:c r="E310" t="n">
        <x:f>MIN($B$4,D310)*$B$7+MAX($B$4-D310,0)*$B$9-$B$4*$B$8</x:f>
        <x:v>200</x:v>
      </x:c>
      <x:c r="F310" t="n">
        <x:f>MIN($B$5,D310)*$B$7+MAX($B$5-D310,0)*$B$9-$B$5*$B$8</x:f>
        <x:v>240</x:v>
      </x:c>
      <x:c r="G310" t="n">
        <x:f>MIN($B$6,D310)*$B$7+MAX($B$6-D310,0)*$B$9-$B$6*$B$8</x:f>
        <x:v>209.29999999999995</x:v>
      </x:c>
      <x:c r="H310" t="n">
        <x:f>MAX(D310-$B$5,0)</x:f>
        <x:v>18</x:v>
      </x:c>
      <x:c r="I310" t="n">
        <x:f>MAX($B$5-D310,0)</x:f>
        <x:v>0</x:v>
      </x:c>
    </x:row>
    <x:row r="311">
      <x:c r="A311" t="n">
        <x:f>299</x:f>
        <x:v>299</x:v>
      </x:c>
      <x:c r="B311" t="n">
        <x:f>RAND()</x:f>
        <x:v>0.11691595282615919</x:v>
      </x:c>
      <x:c r="C311" t="n">
        <x:f>MIN(47,INT(B311*47)+1)</x:f>
        <x:v>6</x:v>
      </x:c>
      <x:c r="D311" t="n">
        <x:f>INDEX(Datos_47_semanas!$B$4:$B$50,C311)</x:f>
        <x:v>155</x:v>
      </x:c>
      <x:c r="E311" t="n">
        <x:f>MIN($B$4,D311)*$B$7+MAX($B$4-D311,0)*$B$9-$B$4*$B$8</x:f>
        <x:v>71.75</x:v>
      </x:c>
      <x:c r="F311" t="n">
        <x:f>MIN($B$5,D311)*$B$7+MAX($B$5-D311,0)*$B$9-$B$5*$B$8</x:f>
        <x:v>44.25</x:v>
      </x:c>
      <x:c r="G311" t="n">
        <x:f>MIN($B$6,D311)*$B$7+MAX($B$6-D311,0)*$B$9-$B$6*$B$8</x:f>
        <x:v>-10.75</x:v>
      </x:c>
      <x:c r="H311" t="n">
        <x:f>MAX(D311-$B$5,0)</x:f>
        <x:v>0</x:v>
      </x:c>
      <x:c r="I311" t="n">
        <x:f>MAX($B$5-D311,0)</x:f>
        <x:v>145</x:v>
      </x:c>
    </x:row>
    <x:row r="312">
      <x:c r="A312" t="n">
        <x:f>300</x:f>
        <x:v>300</x:v>
      </x:c>
      <x:c r="B312" t="n">
        <x:f>RAND()</x:f>
        <x:v>0.5345287052008114</x:v>
      </x:c>
      <x:c r="C312" t="n">
        <x:f>MIN(47,INT(B312*47)+1)</x:f>
        <x:v>26</x:v>
      </x:c>
      <x:c r="D312" t="n">
        <x:f>INDEX(Datos_47_semanas!$B$4:$B$50,C312)</x:f>
        <x:v>183</x:v>
      </x:c>
      <x:c r="E312" t="n">
        <x:f>MIN($B$4,D312)*$B$7+MAX($B$4-D312,0)*$B$9-$B$4*$B$8</x:f>
        <x:v>109.55000000000001</x:v>
      </x:c>
      <x:c r="F312" t="n">
        <x:f>MIN($B$5,D312)*$B$7+MAX($B$5-D312,0)*$B$9-$B$5*$B$8</x:f>
        <x:v>82.05000000000001</x:v>
      </x:c>
      <x:c r="G312" t="n">
        <x:f>MIN($B$6,D312)*$B$7+MAX($B$6-D312,0)*$B$9-$B$6*$B$8</x:f>
        <x:v>27.049999999999955</x:v>
      </x:c>
      <x:c r="H312" t="n">
        <x:f>MAX(D312-$B$5,0)</x:f>
        <x:v>0</x:v>
      </x:c>
      <x:c r="I312" t="n">
        <x:f>MAX($B$5-D312,0)</x:f>
        <x:v>117</x:v>
      </x:c>
    </x:row>
    <x:row r="313">
      <x:c r="A313" t="n">
        <x:f>301</x:f>
        <x:v>301</x:v>
      </x:c>
      <x:c r="B313" t="n">
        <x:f>RAND()</x:f>
        <x:v>0.80976286763968</x:v>
      </x:c>
      <x:c r="C313" t="n">
        <x:f>MIN(47,INT(B313*47)+1)</x:f>
        <x:v>39</x:v>
      </x:c>
      <x:c r="D313" t="n">
        <x:f>INDEX(Datos_47_semanas!$B$4:$B$50,C313)</x:f>
        <x:v>228</x:v>
      </x:c>
      <x:c r="E313" t="n">
        <x:f>MIN($B$4,D313)*$B$7+MAX($B$4-D313,0)*$B$9-$B$4*$B$8</x:f>
        <x:v>170.3</x:v>
      </x:c>
      <x:c r="F313" t="n">
        <x:f>MIN($B$5,D313)*$B$7+MAX($B$5-D313,0)*$B$9-$B$5*$B$8</x:f>
        <x:v>142.8</x:v>
      </x:c>
      <x:c r="G313" t="n">
        <x:f>MIN($B$6,D313)*$B$7+MAX($B$6-D313,0)*$B$9-$B$6*$B$8</x:f>
        <x:v>87.80000000000001</x:v>
      </x:c>
      <x:c r="H313" t="n">
        <x:f>MAX(D313-$B$5,0)</x:f>
        <x:v>0</x:v>
      </x:c>
      <x:c r="I313" t="n">
        <x:f>MAX($B$5-D313,0)</x:f>
        <x:v>72</x:v>
      </x:c>
    </x:row>
    <x:row r="314">
      <x:c r="A314" t="n">
        <x:f>302</x:f>
        <x:v>302</x:v>
      </x:c>
      <x:c r="B314" t="n">
        <x:f>RAND()</x:f>
        <x:v>0.5483207996748618</x:v>
      </x:c>
      <x:c r="C314" t="n">
        <x:f>MIN(47,INT(B314*47)+1)</x:f>
        <x:v>26</x:v>
      </x:c>
      <x:c r="D314" t="n">
        <x:f>INDEX(Datos_47_semanas!$B$4:$B$50,C314)</x:f>
        <x:v>183</x:v>
      </x:c>
      <x:c r="E314" t="n">
        <x:f>MIN($B$4,D314)*$B$7+MAX($B$4-D314,0)*$B$9-$B$4*$B$8</x:f>
        <x:v>109.55000000000001</x:v>
      </x:c>
      <x:c r="F314" t="n">
        <x:f>MIN($B$5,D314)*$B$7+MAX($B$5-D314,0)*$B$9-$B$5*$B$8</x:f>
        <x:v>82.05000000000001</x:v>
      </x:c>
      <x:c r="G314" t="n">
        <x:f>MIN($B$6,D314)*$B$7+MAX($B$6-D314,0)*$B$9-$B$6*$B$8</x:f>
        <x:v>27.049999999999955</x:v>
      </x:c>
      <x:c r="H314" t="n">
        <x:f>MAX(D314-$B$5,0)</x:f>
        <x:v>0</x:v>
      </x:c>
      <x:c r="I314" t="n">
        <x:f>MAX($B$5-D314,0)</x:f>
        <x:v>117</x:v>
      </x:c>
    </x:row>
    <x:row r="315">
      <x:c r="A315" t="n">
        <x:f>303</x:f>
        <x:v>303</x:v>
      </x:c>
      <x:c r="B315" t="n">
        <x:f>RAND()</x:f>
        <x:v>0.9752242308623774</x:v>
      </x:c>
      <x:c r="C315" t="n">
        <x:f>MIN(47,INT(B315*47)+1)</x:f>
        <x:v>46</x:v>
      </x:c>
      <x:c r="D315" t="n">
        <x:f>INDEX(Datos_47_semanas!$B$4:$B$50,C315)</x:f>
        <x:v>449</x:v>
      </x:c>
      <x:c r="E315" t="n">
        <x:f>MIN($B$4,D315)*$B$7+MAX($B$4-D315,0)*$B$9-$B$4*$B$8</x:f>
        <x:v>200</x:v>
      </x:c>
      <x:c r="F315" t="n">
        <x:f>MIN($B$5,D315)*$B$7+MAX($B$5-D315,0)*$B$9-$B$5*$B$8</x:f>
        <x:v>240</x:v>
      </x:c>
      <x:c r="G315" t="n">
        <x:f>MIN($B$6,D315)*$B$7+MAX($B$6-D315,0)*$B$9-$B$6*$B$8</x:f>
        <x:v>320</x:v>
      </x:c>
      <x:c r="H315" t="n">
        <x:f>MAX(D315-$B$5,0)</x:f>
        <x:v>149</x:v>
      </x:c>
      <x:c r="I315" t="n">
        <x:f>MAX($B$5-D315,0)</x:f>
        <x:v>0</x:v>
      </x:c>
    </x:row>
    <x:row r="316">
      <x:c r="A316" t="n">
        <x:f>304</x:f>
        <x:v>304</x:v>
      </x:c>
      <x:c r="B316" t="n">
        <x:f>RAND()</x:f>
        <x:v>0.6690737557901044</x:v>
      </x:c>
      <x:c r="C316" t="n">
        <x:f>MIN(47,INT(B316*47)+1)</x:f>
        <x:v>32</x:v>
      </x:c>
      <x:c r="D316" t="n">
        <x:f>INDEX(Datos_47_semanas!$B$4:$B$50,C316)</x:f>
        <x:v>575</x:v>
      </x:c>
      <x:c r="E316" t="n">
        <x:f>MIN($B$4,D316)*$B$7+MAX($B$4-D316,0)*$B$9-$B$4*$B$8</x:f>
        <x:v>200</x:v>
      </x:c>
      <x:c r="F316" t="n">
        <x:f>MIN($B$5,D316)*$B$7+MAX($B$5-D316,0)*$B$9-$B$5*$B$8</x:f>
        <x:v>240</x:v>
      </x:c>
      <x:c r="G316" t="n">
        <x:f>MIN($B$6,D316)*$B$7+MAX($B$6-D316,0)*$B$9-$B$6*$B$8</x:f>
        <x:v>320</x:v>
      </x:c>
      <x:c r="H316" t="n">
        <x:f>MAX(D316-$B$5,0)</x:f>
        <x:v>275</x:v>
      </x:c>
      <x:c r="I316" t="n">
        <x:f>MAX($B$5-D316,0)</x:f>
        <x:v>0</x:v>
      </x:c>
    </x:row>
    <x:row r="317">
      <x:c r="A317" t="n">
        <x:f>305</x:f>
        <x:v>305</x:v>
      </x:c>
      <x:c r="B317" t="n">
        <x:f>RAND()</x:f>
        <x:v>0.6017291402380274</x:v>
      </x:c>
      <x:c r="C317" t="n">
        <x:f>MIN(47,INT(B317*47)+1)</x:f>
        <x:v>29</x:v>
      </x:c>
      <x:c r="D317" t="n">
        <x:f>INDEX(Datos_47_semanas!$B$4:$B$50,C317)</x:f>
        <x:v>415</x:v>
      </x:c>
      <x:c r="E317" t="n">
        <x:f>MIN($B$4,D317)*$B$7+MAX($B$4-D317,0)*$B$9-$B$4*$B$8</x:f>
        <x:v>200</x:v>
      </x:c>
      <x:c r="F317" t="n">
        <x:f>MIN($B$5,D317)*$B$7+MAX($B$5-D317,0)*$B$9-$B$5*$B$8</x:f>
        <x:v>240</x:v>
      </x:c>
      <x:c r="G317" t="n">
        <x:f>MIN($B$6,D317)*$B$7+MAX($B$6-D317,0)*$B$9-$B$6*$B$8</x:f>
        <x:v>320</x:v>
      </x:c>
      <x:c r="H317" t="n">
        <x:f>MAX(D317-$B$5,0)</x:f>
        <x:v>115</x:v>
      </x:c>
      <x:c r="I317" t="n">
        <x:f>MAX($B$5-D317,0)</x:f>
        <x:v>0</x:v>
      </x:c>
    </x:row>
    <x:row r="318">
      <x:c r="A318" t="n">
        <x:f>306</x:f>
        <x:v>306</x:v>
      </x:c>
      <x:c r="B318" t="n">
        <x:f>RAND()</x:f>
        <x:v>0.3499928753187588</x:v>
      </x:c>
      <x:c r="C318" t="n">
        <x:f>MIN(47,INT(B318*47)+1)</x:f>
        <x:v>17</x:v>
      </x:c>
      <x:c r="D318" t="n">
        <x:f>INDEX(Datos_47_semanas!$B$4:$B$50,C318)</x:f>
        <x:v>154</x:v>
      </x:c>
      <x:c r="E318" t="n">
        <x:f>MIN($B$4,D318)*$B$7+MAX($B$4-D318,0)*$B$9-$B$4*$B$8</x:f>
        <x:v>70.39999999999998</x:v>
      </x:c>
      <x:c r="F318" t="n">
        <x:f>MIN($B$5,D318)*$B$7+MAX($B$5-D318,0)*$B$9-$B$5*$B$8</x:f>
        <x:v>42.89999999999998</x:v>
      </x:c>
      <x:c r="G318" t="n">
        <x:f>MIN($B$6,D318)*$B$7+MAX($B$6-D318,0)*$B$9-$B$6*$B$8</x:f>
        <x:v>-12.100000000000023</x:v>
      </x:c>
      <x:c r="H318" t="n">
        <x:f>MAX(D318-$B$5,0)</x:f>
        <x:v>0</x:v>
      </x:c>
      <x:c r="I318" t="n">
        <x:f>MAX($B$5-D318,0)</x:f>
        <x:v>146</x:v>
      </x:c>
    </x:row>
    <x:row r="319">
      <x:c r="A319" t="n">
        <x:f>307</x:f>
        <x:v>307</x:v>
      </x:c>
      <x:c r="B319" t="n">
        <x:f>RAND()</x:f>
        <x:v>0.3641703713262714</x:v>
      </x:c>
      <x:c r="C319" t="n">
        <x:f>MIN(47,INT(B319*47)+1)</x:f>
        <x:v>18</x:v>
      </x:c>
      <x:c r="D319" t="n">
        <x:f>INDEX(Datos_47_semanas!$B$4:$B$50,C319)</x:f>
        <x:v>219</x:v>
      </x:c>
      <x:c r="E319" t="n">
        <x:f>MIN($B$4,D319)*$B$7+MAX($B$4-D319,0)*$B$9-$B$4*$B$8</x:f>
        <x:v>158.14999999999998</x:v>
      </x:c>
      <x:c r="F319" t="n">
        <x:f>MIN($B$5,D319)*$B$7+MAX($B$5-D319,0)*$B$9-$B$5*$B$8</x:f>
        <x:v>130.64999999999998</x:v>
      </x:c>
      <x:c r="G319" t="n">
        <x:f>MIN($B$6,D319)*$B$7+MAX($B$6-D319,0)*$B$9-$B$6*$B$8</x:f>
        <x:v>75.64999999999998</x:v>
      </x:c>
      <x:c r="H319" t="n">
        <x:f>MAX(D319-$B$5,0)</x:f>
        <x:v>0</x:v>
      </x:c>
      <x:c r="I319" t="n">
        <x:f>MAX($B$5-D319,0)</x:f>
        <x:v>81</x:v>
      </x:c>
    </x:row>
    <x:row r="320">
      <x:c r="A320" t="n">
        <x:f>308</x:f>
        <x:v>308</x:v>
      </x:c>
      <x:c r="B320" t="n">
        <x:f>RAND()</x:f>
        <x:v>0.04232796199850841</x:v>
      </x:c>
      <x:c r="C320" t="n">
        <x:f>MIN(47,INT(B320*47)+1)</x:f>
        <x:v>2</x:v>
      </x:c>
      <x:c r="D320" t="n">
        <x:f>INDEX(Datos_47_semanas!$B$4:$B$50,C320)</x:f>
        <x:v>282</x:v>
      </x:c>
      <x:c r="E320" t="n">
        <x:f>MIN($B$4,D320)*$B$7+MAX($B$4-D320,0)*$B$9-$B$4*$B$8</x:f>
        <x:v>200</x:v>
      </x:c>
      <x:c r="F320" t="n">
        <x:f>MIN($B$5,D320)*$B$7+MAX($B$5-D320,0)*$B$9-$B$5*$B$8</x:f>
        <x:v>215.69999999999993</x:v>
      </x:c>
      <x:c r="G320" t="n">
        <x:f>MIN($B$6,D320)*$B$7+MAX($B$6-D320,0)*$B$9-$B$6*$B$8</x:f>
        <x:v>160.69999999999993</x:v>
      </x:c>
      <x:c r="H320" t="n">
        <x:f>MAX(D320-$B$5,0)</x:f>
        <x:v>0</x:v>
      </x:c>
      <x:c r="I320" t="n">
        <x:f>MAX($B$5-D320,0)</x:f>
        <x:v>18</x:v>
      </x:c>
    </x:row>
    <x:row r="321">
      <x:c r="A321" t="n">
        <x:f>309</x:f>
        <x:v>309</x:v>
      </x:c>
      <x:c r="B321" t="n">
        <x:f>RAND()</x:f>
        <x:v>0.19649410170063908</x:v>
      </x:c>
      <x:c r="C321" t="n">
        <x:f>MIN(47,INT(B321*47)+1)</x:f>
        <x:v>10</x:v>
      </x:c>
      <x:c r="D321" t="n">
        <x:f>INDEX(Datos_47_semanas!$B$4:$B$50,C321)</x:f>
        <x:v>98</x:v>
      </x:c>
      <x:c r="E321" t="n">
        <x:f>MIN($B$4,D321)*$B$7+MAX($B$4-D321,0)*$B$9-$B$4*$B$8</x:f>
        <x:v>-5.200000000000017</x:v>
      </x:c>
      <x:c r="F321" t="n">
        <x:f>MIN($B$5,D321)*$B$7+MAX($B$5-D321,0)*$B$9-$B$5*$B$8</x:f>
        <x:v>-32.70000000000002</x:v>
      </x:c>
      <x:c r="G321" t="n">
        <x:f>MIN($B$6,D321)*$B$7+MAX($B$6-D321,0)*$B$9-$B$6*$B$8</x:f>
        <x:v>-87.70000000000002</x:v>
      </x:c>
      <x:c r="H321" t="n">
        <x:f>MAX(D321-$B$5,0)</x:f>
        <x:v>0</x:v>
      </x:c>
      <x:c r="I321" t="n">
        <x:f>MAX($B$5-D321,0)</x:f>
        <x:v>202</x:v>
      </x:c>
    </x:row>
    <x:row r="322">
      <x:c r="A322" t="n">
        <x:f>310</x:f>
        <x:v>310</x:v>
      </x:c>
      <x:c r="B322" t="n">
        <x:f>RAND()</x:f>
        <x:v>0.9366491288374511</x:v>
      </x:c>
      <x:c r="C322" t="n">
        <x:f>MIN(47,INT(B322*47)+1)</x:f>
        <x:v>45</x:v>
      </x:c>
      <x:c r="D322" t="n">
        <x:f>INDEX(Datos_47_semanas!$B$4:$B$50,C322)</x:f>
        <x:v>526</x:v>
      </x:c>
      <x:c r="E322" t="n">
        <x:f>MIN($B$4,D322)*$B$7+MAX($B$4-D322,0)*$B$9-$B$4*$B$8</x:f>
        <x:v>200</x:v>
      </x:c>
      <x:c r="F322" t="n">
        <x:f>MIN($B$5,D322)*$B$7+MAX($B$5-D322,0)*$B$9-$B$5*$B$8</x:f>
        <x:v>240</x:v>
      </x:c>
      <x:c r="G322" t="n">
        <x:f>MIN($B$6,D322)*$B$7+MAX($B$6-D322,0)*$B$9-$B$6*$B$8</x:f>
        <x:v>320</x:v>
      </x:c>
      <x:c r="H322" t="n">
        <x:f>MAX(D322-$B$5,0)</x:f>
        <x:v>226</x:v>
      </x:c>
      <x:c r="I322" t="n">
        <x:f>MAX($B$5-D322,0)</x:f>
        <x:v>0</x:v>
      </x:c>
    </x:row>
    <x:row r="323">
      <x:c r="A323" t="n">
        <x:f>311</x:f>
        <x:v>311</x:v>
      </x:c>
      <x:c r="B323" t="n">
        <x:f>RAND()</x:f>
        <x:v>0.6785870264608215</x:v>
      </x:c>
      <x:c r="C323" t="n">
        <x:f>MIN(47,INT(B323*47)+1)</x:f>
        <x:v>32</x:v>
      </x:c>
      <x:c r="D323" t="n">
        <x:f>INDEX(Datos_47_semanas!$B$4:$B$50,C323)</x:f>
        <x:v>575</x:v>
      </x:c>
      <x:c r="E323" t="n">
        <x:f>MIN($B$4,D323)*$B$7+MAX($B$4-D323,0)*$B$9-$B$4*$B$8</x:f>
        <x:v>200</x:v>
      </x:c>
      <x:c r="F323" t="n">
        <x:f>MIN($B$5,D323)*$B$7+MAX($B$5-D323,0)*$B$9-$B$5*$B$8</x:f>
        <x:v>240</x:v>
      </x:c>
      <x:c r="G323" t="n">
        <x:f>MIN($B$6,D323)*$B$7+MAX($B$6-D323,0)*$B$9-$B$6*$B$8</x:f>
        <x:v>320</x:v>
      </x:c>
      <x:c r="H323" t="n">
        <x:f>MAX(D323-$B$5,0)</x:f>
        <x:v>275</x:v>
      </x:c>
      <x:c r="I323" t="n">
        <x:f>MAX($B$5-D323,0)</x:f>
        <x:v>0</x:v>
      </x:c>
    </x:row>
    <x:row r="324">
      <x:c r="A324" t="n">
        <x:f>312</x:f>
        <x:v>312</x:v>
      </x:c>
      <x:c r="B324" t="n">
        <x:f>RAND()</x:f>
        <x:v>0.6237649223053232</x:v>
      </x:c>
      <x:c r="C324" t="n">
        <x:f>MIN(47,INT(B324*47)+1)</x:f>
        <x:v>30</x:v>
      </x:c>
      <x:c r="D324" t="n">
        <x:f>INDEX(Datos_47_semanas!$B$4:$B$50,C324)</x:f>
        <x:v>345</x:v>
      </x:c>
      <x:c r="E324" t="n">
        <x:f>MIN($B$4,D324)*$B$7+MAX($B$4-D324,0)*$B$9-$B$4*$B$8</x:f>
        <x:v>200</x:v>
      </x:c>
      <x:c r="F324" t="n">
        <x:f>MIN($B$5,D324)*$B$7+MAX($B$5-D324,0)*$B$9-$B$5*$B$8</x:f>
        <x:v>240</x:v>
      </x:c>
      <x:c r="G324" t="n">
        <x:f>MIN($B$6,D324)*$B$7+MAX($B$6-D324,0)*$B$9-$B$6*$B$8</x:f>
        <x:v>245.75</x:v>
      </x:c>
      <x:c r="H324" t="n">
        <x:f>MAX(D324-$B$5,0)</x:f>
        <x:v>45</x:v>
      </x:c>
      <x:c r="I324" t="n">
        <x:f>MAX($B$5-D324,0)</x:f>
        <x:v>0</x:v>
      </x:c>
    </x:row>
    <x:row r="325">
      <x:c r="A325" t="n">
        <x:f>313</x:f>
        <x:v>313</x:v>
      </x:c>
      <x:c r="B325" t="n">
        <x:f>RAND()</x:f>
        <x:v>0.6293708364871773</x:v>
      </x:c>
      <x:c r="C325" t="n">
        <x:f>MIN(47,INT(B325*47)+1)</x:f>
        <x:v>30</x:v>
      </x:c>
      <x:c r="D325" t="n">
        <x:f>INDEX(Datos_47_semanas!$B$4:$B$50,C325)</x:f>
        <x:v>345</x:v>
      </x:c>
      <x:c r="E325" t="n">
        <x:f>MIN($B$4,D325)*$B$7+MAX($B$4-D325,0)*$B$9-$B$4*$B$8</x:f>
        <x:v>200</x:v>
      </x:c>
      <x:c r="F325" t="n">
        <x:f>MIN($B$5,D325)*$B$7+MAX($B$5-D325,0)*$B$9-$B$5*$B$8</x:f>
        <x:v>240</x:v>
      </x:c>
      <x:c r="G325" t="n">
        <x:f>MIN($B$6,D325)*$B$7+MAX($B$6-D325,0)*$B$9-$B$6*$B$8</x:f>
        <x:v>245.75</x:v>
      </x:c>
      <x:c r="H325" t="n">
        <x:f>MAX(D325-$B$5,0)</x:f>
        <x:v>45</x:v>
      </x:c>
      <x:c r="I325" t="n">
        <x:f>MAX($B$5-D325,0)</x:f>
        <x:v>0</x:v>
      </x:c>
    </x:row>
    <x:row r="326">
      <x:c r="A326" t="n">
        <x:f>314</x:f>
        <x:v>314</x:v>
      </x:c>
      <x:c r="B326" t="n">
        <x:f>RAND()</x:f>
        <x:v>0.37556374943587334</x:v>
      </x:c>
      <x:c r="C326" t="n">
        <x:f>MIN(47,INT(B326*47)+1)</x:f>
        <x:v>18</x:v>
      </x:c>
      <x:c r="D326" t="n">
        <x:f>INDEX(Datos_47_semanas!$B$4:$B$50,C326)</x:f>
        <x:v>219</x:v>
      </x:c>
      <x:c r="E326" t="n">
        <x:f>MIN($B$4,D326)*$B$7+MAX($B$4-D326,0)*$B$9-$B$4*$B$8</x:f>
        <x:v>158.14999999999998</x:v>
      </x:c>
      <x:c r="F326" t="n">
        <x:f>MIN($B$5,D326)*$B$7+MAX($B$5-D326,0)*$B$9-$B$5*$B$8</x:f>
        <x:v>130.64999999999998</x:v>
      </x:c>
      <x:c r="G326" t="n">
        <x:f>MIN($B$6,D326)*$B$7+MAX($B$6-D326,0)*$B$9-$B$6*$B$8</x:f>
        <x:v>75.64999999999998</x:v>
      </x:c>
      <x:c r="H326" t="n">
        <x:f>MAX(D326-$B$5,0)</x:f>
        <x:v>0</x:v>
      </x:c>
      <x:c r="I326" t="n">
        <x:f>MAX($B$5-D326,0)</x:f>
        <x:v>81</x:v>
      </x:c>
    </x:row>
    <x:row r="327">
      <x:c r="A327" t="n">
        <x:f>315</x:f>
        <x:v>315</x:v>
      </x:c>
      <x:c r="B327" t="n">
        <x:f>RAND()</x:f>
        <x:v>0.30719616163469854</x:v>
      </x:c>
      <x:c r="C327" t="n">
        <x:f>MIN(47,INT(B327*47)+1)</x:f>
        <x:v>15</x:v>
      </x:c>
      <x:c r="D327" t="n">
        <x:f>INDEX(Datos_47_semanas!$B$4:$B$50,C327)</x:f>
        <x:v>275</x:v>
      </x:c>
      <x:c r="E327" t="n">
        <x:f>MIN($B$4,D327)*$B$7+MAX($B$4-D327,0)*$B$9-$B$4*$B$8</x:f>
        <x:v>200</x:v>
      </x:c>
      <x:c r="F327" t="n">
        <x:f>MIN($B$5,D327)*$B$7+MAX($B$5-D327,0)*$B$9-$B$5*$B$8</x:f>
        <x:v>206.25</x:v>
      </x:c>
      <x:c r="G327" t="n">
        <x:f>MIN($B$6,D327)*$B$7+MAX($B$6-D327,0)*$B$9-$B$6*$B$8</x:f>
        <x:v>151.25</x:v>
      </x:c>
      <x:c r="H327" t="n">
        <x:f>MAX(D327-$B$5,0)</x:f>
        <x:v>0</x:v>
      </x:c>
      <x:c r="I327" t="n">
        <x:f>MAX($B$5-D327,0)</x:f>
        <x:v>25</x:v>
      </x:c>
    </x:row>
    <x:row r="328">
      <x:c r="A328" t="n">
        <x:f>316</x:f>
        <x:v>316</x:v>
      </x:c>
      <x:c r="B328" t="n">
        <x:f>RAND()</x:f>
        <x:v>0.001759655222755896</x:v>
      </x:c>
      <x:c r="C328" t="n">
        <x:f>MIN(47,INT(B328*47)+1)</x:f>
        <x:v>1</x:v>
      </x:c>
      <x:c r="D328" t="n">
        <x:f>INDEX(Datos_47_semanas!$B$4:$B$50,C328)</x:f>
        <x:v>418</x:v>
      </x:c>
      <x:c r="E328" t="n">
        <x:f>MIN($B$4,D328)*$B$7+MAX($B$4-D328,0)*$B$9-$B$4*$B$8</x:f>
        <x:v>200</x:v>
      </x:c>
      <x:c r="F328" t="n">
        <x:f>MIN($B$5,D328)*$B$7+MAX($B$5-D328,0)*$B$9-$B$5*$B$8</x:f>
        <x:v>240</x:v>
      </x:c>
      <x:c r="G328" t="n">
        <x:f>MIN($B$6,D328)*$B$7+MAX($B$6-D328,0)*$B$9-$B$6*$B$8</x:f>
        <x:v>320</x:v>
      </x:c>
      <x:c r="H328" t="n">
        <x:f>MAX(D328-$B$5,0)</x:f>
        <x:v>118</x:v>
      </x:c>
      <x:c r="I328" t="n">
        <x:f>MAX($B$5-D328,0)</x:f>
        <x:v>0</x:v>
      </x:c>
    </x:row>
    <x:row r="329">
      <x:c r="A329" t="n">
        <x:f>317</x:f>
        <x:v>317</x:v>
      </x:c>
      <x:c r="B329" t="n">
        <x:f>RAND()</x:f>
        <x:v>0.5185189230321567</x:v>
      </x:c>
      <x:c r="C329" t="n">
        <x:f>MIN(47,INT(B329*47)+1)</x:f>
        <x:v>25</x:v>
      </x:c>
      <x:c r="D329" t="n">
        <x:f>INDEX(Datos_47_semanas!$B$4:$B$50,C329)</x:f>
        <x:v>218</x:v>
      </x:c>
      <x:c r="E329" t="n">
        <x:f>MIN($B$4,D329)*$B$7+MAX($B$4-D329,0)*$B$9-$B$4*$B$8</x:f>
        <x:v>156.8</x:v>
      </x:c>
      <x:c r="F329" t="n">
        <x:f>MIN($B$5,D329)*$B$7+MAX($B$5-D329,0)*$B$9-$B$5*$B$8</x:f>
        <x:v>129.3</x:v>
      </x:c>
      <x:c r="G329" t="n">
        <x:f>MIN($B$6,D329)*$B$7+MAX($B$6-D329,0)*$B$9-$B$6*$B$8</x:f>
        <x:v>74.30000000000001</x:v>
      </x:c>
      <x:c r="H329" t="n">
        <x:f>MAX(D329-$B$5,0)</x:f>
        <x:v>0</x:v>
      </x:c>
      <x:c r="I329" t="n">
        <x:f>MAX($B$5-D329,0)</x:f>
        <x:v>82</x:v>
      </x:c>
    </x:row>
    <x:row r="330">
      <x:c r="A330" t="n">
        <x:f>318</x:f>
        <x:v>318</x:v>
      </x:c>
      <x:c r="B330" t="n">
        <x:f>RAND()</x:f>
        <x:v>0.4318450389937203</x:v>
      </x:c>
      <x:c r="C330" t="n">
        <x:f>MIN(47,INT(B330*47)+1)</x:f>
        <x:v>21</x:v>
      </x:c>
      <x:c r="D330" t="n">
        <x:f>INDEX(Datos_47_semanas!$B$4:$B$50,C330)</x:f>
        <x:v>424</x:v>
      </x:c>
      <x:c r="E330" t="n">
        <x:f>MIN($B$4,D330)*$B$7+MAX($B$4-D330,0)*$B$9-$B$4*$B$8</x:f>
        <x:v>200</x:v>
      </x:c>
      <x:c r="F330" t="n">
        <x:f>MIN($B$5,D330)*$B$7+MAX($B$5-D330,0)*$B$9-$B$5*$B$8</x:f>
        <x:v>240</x:v>
      </x:c>
      <x:c r="G330" t="n">
        <x:f>MIN($B$6,D330)*$B$7+MAX($B$6-D330,0)*$B$9-$B$6*$B$8</x:f>
        <x:v>320</x:v>
      </x:c>
      <x:c r="H330" t="n">
        <x:f>MAX(D330-$B$5,0)</x:f>
        <x:v>124</x:v>
      </x:c>
      <x:c r="I330" t="n">
        <x:f>MAX($B$5-D330,0)</x:f>
        <x:v>0</x:v>
      </x:c>
    </x:row>
    <x:row r="331">
      <x:c r="A331" t="n">
        <x:f>319</x:f>
        <x:v>319</x:v>
      </x:c>
      <x:c r="B331" t="n">
        <x:f>RAND()</x:f>
        <x:v>0.07398683711489418</x:v>
      </x:c>
      <x:c r="C331" t="n">
        <x:f>MIN(47,INT(B331*47)+1)</x:f>
        <x:v>4</x:v>
      </x:c>
      <x:c r="D331" t="n">
        <x:f>INDEX(Datos_47_semanas!$B$4:$B$50,C331)</x:f>
        <x:v>161</x:v>
      </x:c>
      <x:c r="E331" t="n">
        <x:f>MIN($B$4,D331)*$B$7+MAX($B$4-D331,0)*$B$9-$B$4*$B$8</x:f>
        <x:v>79.84999999999997</x:v>
      </x:c>
      <x:c r="F331" t="n">
        <x:f>MIN($B$5,D331)*$B$7+MAX($B$5-D331,0)*$B$9-$B$5*$B$8</x:f>
        <x:v>52.349999999999966</x:v>
      </x:c>
      <x:c r="G331" t="n">
        <x:f>MIN($B$6,D331)*$B$7+MAX($B$6-D331,0)*$B$9-$B$6*$B$8</x:f>
        <x:v>-2.650000000000034</x:v>
      </x:c>
      <x:c r="H331" t="n">
        <x:f>MAX(D331-$B$5,0)</x:f>
        <x:v>0</x:v>
      </x:c>
      <x:c r="I331" t="n">
        <x:f>MAX($B$5-D331,0)</x:f>
        <x:v>139</x:v>
      </x:c>
    </x:row>
    <x:row r="332">
      <x:c r="A332" t="n">
        <x:f>320</x:f>
        <x:v>320</x:v>
      </x:c>
      <x:c r="B332" t="n">
        <x:f>RAND()</x:f>
        <x:v>0.24935530266883943</x:v>
      </x:c>
      <x:c r="C332" t="n">
        <x:f>MIN(47,INT(B332*47)+1)</x:f>
        <x:v>12</x:v>
      </x:c>
      <x:c r="D332" t="n">
        <x:f>INDEX(Datos_47_semanas!$B$4:$B$50,C332)</x:f>
        <x:v>336</x:v>
      </x:c>
      <x:c r="E332" t="n">
        <x:f>MIN($B$4,D332)*$B$7+MAX($B$4-D332,0)*$B$9-$B$4*$B$8</x:f>
        <x:v>200</x:v>
      </x:c>
      <x:c r="F332" t="n">
        <x:f>MIN($B$5,D332)*$B$7+MAX($B$5-D332,0)*$B$9-$B$5*$B$8</x:f>
        <x:v>240</x:v>
      </x:c>
      <x:c r="G332" t="n">
        <x:f>MIN($B$6,D332)*$B$7+MAX($B$6-D332,0)*$B$9-$B$6*$B$8</x:f>
        <x:v>233.60000000000002</x:v>
      </x:c>
      <x:c r="H332" t="n">
        <x:f>MAX(D332-$B$5,0)</x:f>
        <x:v>36</x:v>
      </x:c>
      <x:c r="I332" t="n">
        <x:f>MAX($B$5-D332,0)</x:f>
        <x:v>0</x:v>
      </x:c>
    </x:row>
    <x:row r="333">
      <x:c r="A333" t="n">
        <x:f>321</x:f>
        <x:v>321</x:v>
      </x:c>
      <x:c r="B333" t="n">
        <x:f>RAND()</x:f>
        <x:v>0.6021442127825506</x:v>
      </x:c>
      <x:c r="C333" t="n">
        <x:f>MIN(47,INT(B333*47)+1)</x:f>
        <x:v>29</x:v>
      </x:c>
      <x:c r="D333" t="n">
        <x:f>INDEX(Datos_47_semanas!$B$4:$B$50,C333)</x:f>
        <x:v>415</x:v>
      </x:c>
      <x:c r="E333" t="n">
        <x:f>MIN($B$4,D333)*$B$7+MAX($B$4-D333,0)*$B$9-$B$4*$B$8</x:f>
        <x:v>200</x:v>
      </x:c>
      <x:c r="F333" t="n">
        <x:f>MIN($B$5,D333)*$B$7+MAX($B$5-D333,0)*$B$9-$B$5*$B$8</x:f>
        <x:v>240</x:v>
      </x:c>
      <x:c r="G333" t="n">
        <x:f>MIN($B$6,D333)*$B$7+MAX($B$6-D333,0)*$B$9-$B$6*$B$8</x:f>
        <x:v>320</x:v>
      </x:c>
      <x:c r="H333" t="n">
        <x:f>MAX(D333-$B$5,0)</x:f>
        <x:v>115</x:v>
      </x:c>
      <x:c r="I333" t="n">
        <x:f>MAX($B$5-D333,0)</x:f>
        <x:v>0</x:v>
      </x:c>
    </x:row>
    <x:row r="334">
      <x:c r="A334" t="n">
        <x:f>322</x:f>
        <x:v>322</x:v>
      </x:c>
      <x:c r="B334" t="n">
        <x:f>RAND()</x:f>
        <x:v>0.23514527873855562</x:v>
      </x:c>
      <x:c r="C334" t="n">
        <x:f>MIN(47,INT(B334*47)+1)</x:f>
        <x:v>12</x:v>
      </x:c>
      <x:c r="D334" t="n">
        <x:f>INDEX(Datos_47_semanas!$B$4:$B$50,C334)</x:f>
        <x:v>336</x:v>
      </x:c>
      <x:c r="E334" t="n">
        <x:f>MIN($B$4,D334)*$B$7+MAX($B$4-D334,0)*$B$9-$B$4*$B$8</x:f>
        <x:v>200</x:v>
      </x:c>
      <x:c r="F334" t="n">
        <x:f>MIN($B$5,D334)*$B$7+MAX($B$5-D334,0)*$B$9-$B$5*$B$8</x:f>
        <x:v>240</x:v>
      </x:c>
      <x:c r="G334" t="n">
        <x:f>MIN($B$6,D334)*$B$7+MAX($B$6-D334,0)*$B$9-$B$6*$B$8</x:f>
        <x:v>233.60000000000002</x:v>
      </x:c>
      <x:c r="H334" t="n">
        <x:f>MAX(D334-$B$5,0)</x:f>
        <x:v>36</x:v>
      </x:c>
      <x:c r="I334" t="n">
        <x:f>MAX($B$5-D334,0)</x:f>
        <x:v>0</x:v>
      </x:c>
    </x:row>
    <x:row r="335">
      <x:c r="A335" t="n">
        <x:f>323</x:f>
        <x:v>323</x:v>
      </x:c>
      <x:c r="B335" t="n">
        <x:f>RAND()</x:f>
        <x:v>0.37369085349418907</x:v>
      </x:c>
      <x:c r="C335" t="n">
        <x:f>MIN(47,INT(B335*47)+1)</x:f>
        <x:v>18</x:v>
      </x:c>
      <x:c r="D335" t="n">
        <x:f>INDEX(Datos_47_semanas!$B$4:$B$50,C335)</x:f>
        <x:v>219</x:v>
      </x:c>
      <x:c r="E335" t="n">
        <x:f>MIN($B$4,D335)*$B$7+MAX($B$4-D335,0)*$B$9-$B$4*$B$8</x:f>
        <x:v>158.14999999999998</x:v>
      </x:c>
      <x:c r="F335" t="n">
        <x:f>MIN($B$5,D335)*$B$7+MAX($B$5-D335,0)*$B$9-$B$5*$B$8</x:f>
        <x:v>130.64999999999998</x:v>
      </x:c>
      <x:c r="G335" t="n">
        <x:f>MIN($B$6,D335)*$B$7+MAX($B$6-D335,0)*$B$9-$B$6*$B$8</x:f>
        <x:v>75.64999999999998</x:v>
      </x:c>
      <x:c r="H335" t="n">
        <x:f>MAX(D335-$B$5,0)</x:f>
        <x:v>0</x:v>
      </x:c>
      <x:c r="I335" t="n">
        <x:f>MAX($B$5-D335,0)</x:f>
        <x:v>81</x:v>
      </x:c>
    </x:row>
    <x:row r="336">
      <x:c r="A336" t="n">
        <x:f>324</x:f>
        <x:v>324</x:v>
      </x:c>
      <x:c r="B336" t="n">
        <x:f>RAND()</x:f>
        <x:v>0.5779837336612618</x:v>
      </x:c>
      <x:c r="C336" t="n">
        <x:f>MIN(47,INT(B336*47)+1)</x:f>
        <x:v>28</x:v>
      </x:c>
      <x:c r="D336" t="n">
        <x:f>INDEX(Datos_47_semanas!$B$4:$B$50,C336)</x:f>
        <x:v>201</x:v>
      </x:c>
      <x:c r="E336" t="n">
        <x:f>MIN($B$4,D336)*$B$7+MAX($B$4-D336,0)*$B$9-$B$4*$B$8</x:f>
        <x:v>133.84999999999997</x:v>
      </x:c>
      <x:c r="F336" t="n">
        <x:f>MIN($B$5,D336)*$B$7+MAX($B$5-D336,0)*$B$9-$B$5*$B$8</x:f>
        <x:v>106.34999999999997</x:v>
      </x:c>
      <x:c r="G336" t="n">
        <x:f>MIN($B$6,D336)*$B$7+MAX($B$6-D336,0)*$B$9-$B$6*$B$8</x:f>
        <x:v>51.349999999999966</x:v>
      </x:c>
      <x:c r="H336" t="n">
        <x:f>MAX(D336-$B$5,0)</x:f>
        <x:v>0</x:v>
      </x:c>
      <x:c r="I336" t="n">
        <x:f>MAX($B$5-D336,0)</x:f>
        <x:v>99</x:v>
      </x:c>
    </x:row>
    <x:row r="337">
      <x:c r="A337" t="n">
        <x:f>325</x:f>
        <x:v>325</x:v>
      </x:c>
      <x:c r="B337" t="n">
        <x:f>RAND()</x:f>
        <x:v>0.8727932018566199</x:v>
      </x:c>
      <x:c r="C337" t="n">
        <x:f>MIN(47,INT(B337*47)+1)</x:f>
        <x:v>42</x:v>
      </x:c>
      <x:c r="D337" t="n">
        <x:f>INDEX(Datos_47_semanas!$B$4:$B$50,C337)</x:f>
        <x:v>146</x:v>
      </x:c>
      <x:c r="E337" t="n">
        <x:f>MIN($B$4,D337)*$B$7+MAX($B$4-D337,0)*$B$9-$B$4*$B$8</x:f>
        <x:v>59.599999999999966</x:v>
      </x:c>
      <x:c r="F337" t="n">
        <x:f>MIN($B$5,D337)*$B$7+MAX($B$5-D337,0)*$B$9-$B$5*$B$8</x:f>
        <x:v>32.099999999999966</x:v>
      </x:c>
      <x:c r="G337" t="n">
        <x:f>MIN($B$6,D337)*$B$7+MAX($B$6-D337,0)*$B$9-$B$6*$B$8</x:f>
        <x:v>-22.900000000000034</x:v>
      </x:c>
      <x:c r="H337" t="n">
        <x:f>MAX(D337-$B$5,0)</x:f>
        <x:v>0</x:v>
      </x:c>
      <x:c r="I337" t="n">
        <x:f>MAX($B$5-D337,0)</x:f>
        <x:v>154</x:v>
      </x:c>
    </x:row>
    <x:row r="338">
      <x:c r="A338" t="n">
        <x:f>326</x:f>
        <x:v>326</x:v>
      </x:c>
      <x:c r="B338" t="n">
        <x:f>RAND()</x:f>
        <x:v>0.25812072042289613</x:v>
      </x:c>
      <x:c r="C338" t="n">
        <x:f>MIN(47,INT(B338*47)+1)</x:f>
        <x:v>13</x:v>
      </x:c>
      <x:c r="D338" t="n">
        <x:f>INDEX(Datos_47_semanas!$B$4:$B$50,C338)</x:f>
        <x:v>517</x:v>
      </x:c>
      <x:c r="E338" t="n">
        <x:f>MIN($B$4,D338)*$B$7+MAX($B$4-D338,0)*$B$9-$B$4*$B$8</x:f>
        <x:v>200</x:v>
      </x:c>
      <x:c r="F338" t="n">
        <x:f>MIN($B$5,D338)*$B$7+MAX($B$5-D338,0)*$B$9-$B$5*$B$8</x:f>
        <x:v>240</x:v>
      </x:c>
      <x:c r="G338" t="n">
        <x:f>MIN($B$6,D338)*$B$7+MAX($B$6-D338,0)*$B$9-$B$6*$B$8</x:f>
        <x:v>320</x:v>
      </x:c>
      <x:c r="H338" t="n">
        <x:f>MAX(D338-$B$5,0)</x:f>
        <x:v>217</x:v>
      </x:c>
      <x:c r="I338" t="n">
        <x:f>MAX($B$5-D338,0)</x:f>
        <x:v>0</x:v>
      </x:c>
    </x:row>
    <x:row r="339">
      <x:c r="A339" t="n">
        <x:f>327</x:f>
        <x:v>327</x:v>
      </x:c>
      <x:c r="B339" t="n">
        <x:f>RAND()</x:f>
        <x:v>0.8795905089972562</x:v>
      </x:c>
      <x:c r="C339" t="n">
        <x:f>MIN(47,INT(B339*47)+1)</x:f>
        <x:v>42</x:v>
      </x:c>
      <x:c r="D339" t="n">
        <x:f>INDEX(Datos_47_semanas!$B$4:$B$50,C339)</x:f>
        <x:v>146</x:v>
      </x:c>
      <x:c r="E339" t="n">
        <x:f>MIN($B$4,D339)*$B$7+MAX($B$4-D339,0)*$B$9-$B$4*$B$8</x:f>
        <x:v>59.599999999999966</x:v>
      </x:c>
      <x:c r="F339" t="n">
        <x:f>MIN($B$5,D339)*$B$7+MAX($B$5-D339,0)*$B$9-$B$5*$B$8</x:f>
        <x:v>32.099999999999966</x:v>
      </x:c>
      <x:c r="G339" t="n">
        <x:f>MIN($B$6,D339)*$B$7+MAX($B$6-D339,0)*$B$9-$B$6*$B$8</x:f>
        <x:v>-22.900000000000034</x:v>
      </x:c>
      <x:c r="H339" t="n">
        <x:f>MAX(D339-$B$5,0)</x:f>
        <x:v>0</x:v>
      </x:c>
      <x:c r="I339" t="n">
        <x:f>MAX($B$5-D339,0)</x:f>
        <x:v>154</x:v>
      </x:c>
    </x:row>
    <x:row r="340">
      <x:c r="A340" t="n">
        <x:f>328</x:f>
        <x:v>328</x:v>
      </x:c>
      <x:c r="B340" t="n">
        <x:f>RAND()</x:f>
        <x:v>0.3477816713158346</x:v>
      </x:c>
      <x:c r="C340" t="n">
        <x:f>MIN(47,INT(B340*47)+1)</x:f>
        <x:v>17</x:v>
      </x:c>
      <x:c r="D340" t="n">
        <x:f>INDEX(Datos_47_semanas!$B$4:$B$50,C340)</x:f>
        <x:v>154</x:v>
      </x:c>
      <x:c r="E340" t="n">
        <x:f>MIN($B$4,D340)*$B$7+MAX($B$4-D340,0)*$B$9-$B$4*$B$8</x:f>
        <x:v>70.39999999999998</x:v>
      </x:c>
      <x:c r="F340" t="n">
        <x:f>MIN($B$5,D340)*$B$7+MAX($B$5-D340,0)*$B$9-$B$5*$B$8</x:f>
        <x:v>42.89999999999998</x:v>
      </x:c>
      <x:c r="G340" t="n">
        <x:f>MIN($B$6,D340)*$B$7+MAX($B$6-D340,0)*$B$9-$B$6*$B$8</x:f>
        <x:v>-12.100000000000023</x:v>
      </x:c>
      <x:c r="H340" t="n">
        <x:f>MAX(D340-$B$5,0)</x:f>
        <x:v>0</x:v>
      </x:c>
      <x:c r="I340" t="n">
        <x:f>MAX($B$5-D340,0)</x:f>
        <x:v>146</x:v>
      </x:c>
    </x:row>
    <x:row r="341">
      <x:c r="A341" t="n">
        <x:f>329</x:f>
        <x:v>329</x:v>
      </x:c>
      <x:c r="B341" t="n">
        <x:f>RAND()</x:f>
        <x:v>0.2544072360924614</x:v>
      </x:c>
      <x:c r="C341" t="n">
        <x:f>MIN(47,INT(B341*47)+1)</x:f>
        <x:v>12</x:v>
      </x:c>
      <x:c r="D341" t="n">
        <x:f>INDEX(Datos_47_semanas!$B$4:$B$50,C341)</x:f>
        <x:v>336</x:v>
      </x:c>
      <x:c r="E341" t="n">
        <x:f>MIN($B$4,D341)*$B$7+MAX($B$4-D341,0)*$B$9-$B$4*$B$8</x:f>
        <x:v>200</x:v>
      </x:c>
      <x:c r="F341" t="n">
        <x:f>MIN($B$5,D341)*$B$7+MAX($B$5-D341,0)*$B$9-$B$5*$B$8</x:f>
        <x:v>240</x:v>
      </x:c>
      <x:c r="G341" t="n">
        <x:f>MIN($B$6,D341)*$B$7+MAX($B$6-D341,0)*$B$9-$B$6*$B$8</x:f>
        <x:v>233.60000000000002</x:v>
      </x:c>
      <x:c r="H341" t="n">
        <x:f>MAX(D341-$B$5,0)</x:f>
        <x:v>36</x:v>
      </x:c>
      <x:c r="I341" t="n">
        <x:f>MAX($B$5-D341,0)</x:f>
        <x:v>0</x:v>
      </x:c>
    </x:row>
    <x:row r="342">
      <x:c r="A342" t="n">
        <x:f>330</x:f>
        <x:v>330</x:v>
      </x:c>
      <x:c r="B342" t="n">
        <x:f>RAND()</x:f>
        <x:v>0.012646244397776174</x:v>
      </x:c>
      <x:c r="C342" t="n">
        <x:f>MIN(47,INT(B342*47)+1)</x:f>
        <x:v>1</x:v>
      </x:c>
      <x:c r="D342" t="n">
        <x:f>INDEX(Datos_47_semanas!$B$4:$B$50,C342)</x:f>
        <x:v>418</x:v>
      </x:c>
      <x:c r="E342" t="n">
        <x:f>MIN($B$4,D342)*$B$7+MAX($B$4-D342,0)*$B$9-$B$4*$B$8</x:f>
        <x:v>200</x:v>
      </x:c>
      <x:c r="F342" t="n">
        <x:f>MIN($B$5,D342)*$B$7+MAX($B$5-D342,0)*$B$9-$B$5*$B$8</x:f>
        <x:v>240</x:v>
      </x:c>
      <x:c r="G342" t="n">
        <x:f>MIN($B$6,D342)*$B$7+MAX($B$6-D342,0)*$B$9-$B$6*$B$8</x:f>
        <x:v>320</x:v>
      </x:c>
      <x:c r="H342" t="n">
        <x:f>MAX(D342-$B$5,0)</x:f>
        <x:v>118</x:v>
      </x:c>
      <x:c r="I342" t="n">
        <x:f>MAX($B$5-D342,0)</x:f>
        <x:v>0</x:v>
      </x:c>
    </x:row>
    <x:row r="343">
      <x:c r="A343" t="n">
        <x:f>331</x:f>
        <x:v>331</x:v>
      </x:c>
      <x:c r="B343" t="n">
        <x:f>RAND()</x:f>
        <x:v>0.052381349350785866</x:v>
      </x:c>
      <x:c r="C343" t="n">
        <x:f>MIN(47,INT(B343*47)+1)</x:f>
        <x:v>3</x:v>
      </x:c>
      <x:c r="D343" t="n">
        <x:f>INDEX(Datos_47_semanas!$B$4:$B$50,C343)</x:f>
        <x:v>128</x:v>
      </x:c>
      <x:c r="E343" t="n">
        <x:f>MIN($B$4,D343)*$B$7+MAX($B$4-D343,0)*$B$9-$B$4*$B$8</x:f>
        <x:v>35.29999999999998</x:v>
      </x:c>
      <x:c r="F343" t="n">
        <x:f>MIN($B$5,D343)*$B$7+MAX($B$5-D343,0)*$B$9-$B$5*$B$8</x:f>
        <x:v>7.800000000000011</x:v>
      </x:c>
      <x:c r="G343" t="n">
        <x:f>MIN($B$6,D343)*$B$7+MAX($B$6-D343,0)*$B$9-$B$6*$B$8</x:f>
        <x:v>-47.200000000000045</x:v>
      </x:c>
      <x:c r="H343" t="n">
        <x:f>MAX(D343-$B$5,0)</x:f>
        <x:v>0</x:v>
      </x:c>
      <x:c r="I343" t="n">
        <x:f>MAX($B$5-D343,0)</x:f>
        <x:v>172</x:v>
      </x:c>
    </x:row>
    <x:row r="344">
      <x:c r="A344" t="n">
        <x:f>332</x:f>
        <x:v>332</x:v>
      </x:c>
      <x:c r="B344" t="n">
        <x:f>RAND()</x:f>
        <x:v>0.9276446365067544</x:v>
      </x:c>
      <x:c r="C344" t="n">
        <x:f>MIN(47,INT(B344*47)+1)</x:f>
        <x:v>44</x:v>
      </x:c>
      <x:c r="D344" t="n">
        <x:f>INDEX(Datos_47_semanas!$B$4:$B$50,C344)</x:f>
        <x:v>223</x:v>
      </x:c>
      <x:c r="E344" t="n">
        <x:f>MIN($B$4,D344)*$B$7+MAX($B$4-D344,0)*$B$9-$B$4*$B$8</x:f>
        <x:v>163.55</x:v>
      </x:c>
      <x:c r="F344" t="n">
        <x:f>MIN($B$5,D344)*$B$7+MAX($B$5-D344,0)*$B$9-$B$5*$B$8</x:f>
        <x:v>136.05</x:v>
      </x:c>
      <x:c r="G344" t="n">
        <x:f>MIN($B$6,D344)*$B$7+MAX($B$6-D344,0)*$B$9-$B$6*$B$8</x:f>
        <x:v>81.05000000000001</x:v>
      </x:c>
      <x:c r="H344" t="n">
        <x:f>MAX(D344-$B$5,0)</x:f>
        <x:v>0</x:v>
      </x:c>
      <x:c r="I344" t="n">
        <x:f>MAX($B$5-D344,0)</x:f>
        <x:v>77</x:v>
      </x:c>
    </x:row>
    <x:row r="345">
      <x:c r="A345" t="n">
        <x:f>333</x:f>
        <x:v>333</x:v>
      </x:c>
      <x:c r="B345" t="n">
        <x:f>RAND()</x:f>
        <x:v>0.4557595630410075</x:v>
      </x:c>
      <x:c r="C345" t="n">
        <x:f>MIN(47,INT(B345*47)+1)</x:f>
        <x:v>22</x:v>
      </x:c>
      <x:c r="D345" t="n">
        <x:f>INDEX(Datos_47_semanas!$B$4:$B$50,C345)</x:f>
        <x:v>171</x:v>
      </x:c>
      <x:c r="E345" t="n">
        <x:f>MIN($B$4,D345)*$B$7+MAX($B$4-D345,0)*$B$9-$B$4*$B$8</x:f>
        <x:v>93.34999999999997</x:v>
      </x:c>
      <x:c r="F345" t="n">
        <x:f>MIN($B$5,D345)*$B$7+MAX($B$5-D345,0)*$B$9-$B$5*$B$8</x:f>
        <x:v>65.84999999999997</x:v>
      </x:c>
      <x:c r="G345" t="n">
        <x:f>MIN($B$6,D345)*$B$7+MAX($B$6-D345,0)*$B$9-$B$6*$B$8</x:f>
        <x:v>10.849999999999966</x:v>
      </x:c>
      <x:c r="H345" t="n">
        <x:f>MAX(D345-$B$5,0)</x:f>
        <x:v>0</x:v>
      </x:c>
      <x:c r="I345" t="n">
        <x:f>MAX($B$5-D345,0)</x:f>
        <x:v>129</x:v>
      </x:c>
    </x:row>
    <x:row r="346">
      <x:c r="A346" t="n">
        <x:f>334</x:f>
        <x:v>334</x:v>
      </x:c>
      <x:c r="B346" t="n">
        <x:f>RAND()</x:f>
        <x:v>0.8089467144019133</x:v>
      </x:c>
      <x:c r="C346" t="n">
        <x:f>MIN(47,INT(B346*47)+1)</x:f>
        <x:v>39</x:v>
      </x:c>
      <x:c r="D346" t="n">
        <x:f>INDEX(Datos_47_semanas!$B$4:$B$50,C346)</x:f>
        <x:v>228</x:v>
      </x:c>
      <x:c r="E346" t="n">
        <x:f>MIN($B$4,D346)*$B$7+MAX($B$4-D346,0)*$B$9-$B$4*$B$8</x:f>
        <x:v>170.3</x:v>
      </x:c>
      <x:c r="F346" t="n">
        <x:f>MIN($B$5,D346)*$B$7+MAX($B$5-D346,0)*$B$9-$B$5*$B$8</x:f>
        <x:v>142.8</x:v>
      </x:c>
      <x:c r="G346" t="n">
        <x:f>MIN($B$6,D346)*$B$7+MAX($B$6-D346,0)*$B$9-$B$6*$B$8</x:f>
        <x:v>87.80000000000001</x:v>
      </x:c>
      <x:c r="H346" t="n">
        <x:f>MAX(D346-$B$5,0)</x:f>
        <x:v>0</x:v>
      </x:c>
      <x:c r="I346" t="n">
        <x:f>MAX($B$5-D346,0)</x:f>
        <x:v>72</x:v>
      </x:c>
    </x:row>
    <x:row r="347">
      <x:c r="A347" t="n">
        <x:f>335</x:f>
        <x:v>335</x:v>
      </x:c>
      <x:c r="B347" t="n">
        <x:f>RAND()</x:f>
        <x:v>0.03747035023882006</x:v>
      </x:c>
      <x:c r="C347" t="n">
        <x:f>MIN(47,INT(B347*47)+1)</x:f>
        <x:v>2</x:v>
      </x:c>
      <x:c r="D347" t="n">
        <x:f>INDEX(Datos_47_semanas!$B$4:$B$50,C347)</x:f>
        <x:v>282</x:v>
      </x:c>
      <x:c r="E347" t="n">
        <x:f>MIN($B$4,D347)*$B$7+MAX($B$4-D347,0)*$B$9-$B$4*$B$8</x:f>
        <x:v>200</x:v>
      </x:c>
      <x:c r="F347" t="n">
        <x:f>MIN($B$5,D347)*$B$7+MAX($B$5-D347,0)*$B$9-$B$5*$B$8</x:f>
        <x:v>215.69999999999993</x:v>
      </x:c>
      <x:c r="G347" t="n">
        <x:f>MIN($B$6,D347)*$B$7+MAX($B$6-D347,0)*$B$9-$B$6*$B$8</x:f>
        <x:v>160.69999999999993</x:v>
      </x:c>
      <x:c r="H347" t="n">
        <x:f>MAX(D347-$B$5,0)</x:f>
        <x:v>0</x:v>
      </x:c>
      <x:c r="I347" t="n">
        <x:f>MAX($B$5-D347,0)</x:f>
        <x:v>18</x:v>
      </x:c>
    </x:row>
    <x:row r="348">
      <x:c r="A348" t="n">
        <x:f>336</x:f>
        <x:v>336</x:v>
      </x:c>
      <x:c r="B348" t="n">
        <x:f>RAND()</x:f>
        <x:v>0.2632256441021713</x:v>
      </x:c>
      <x:c r="C348" t="n">
        <x:f>MIN(47,INT(B348*47)+1)</x:f>
        <x:v>13</x:v>
      </x:c>
      <x:c r="D348" t="n">
        <x:f>INDEX(Datos_47_semanas!$B$4:$B$50,C348)</x:f>
        <x:v>517</x:v>
      </x:c>
      <x:c r="E348" t="n">
        <x:f>MIN($B$4,D348)*$B$7+MAX($B$4-D348,0)*$B$9-$B$4*$B$8</x:f>
        <x:v>200</x:v>
      </x:c>
      <x:c r="F348" t="n">
        <x:f>MIN($B$5,D348)*$B$7+MAX($B$5-D348,0)*$B$9-$B$5*$B$8</x:f>
        <x:v>240</x:v>
      </x:c>
      <x:c r="G348" t="n">
        <x:f>MIN($B$6,D348)*$B$7+MAX($B$6-D348,0)*$B$9-$B$6*$B$8</x:f>
        <x:v>320</x:v>
      </x:c>
      <x:c r="H348" t="n">
        <x:f>MAX(D348-$B$5,0)</x:f>
        <x:v>217</x:v>
      </x:c>
      <x:c r="I348" t="n">
        <x:f>MAX($B$5-D348,0)</x:f>
        <x:v>0</x:v>
      </x:c>
    </x:row>
    <x:row r="349">
      <x:c r="A349" t="n">
        <x:f>337</x:f>
        <x:v>337</x:v>
      </x:c>
      <x:c r="B349" t="n">
        <x:f>RAND()</x:f>
        <x:v>0.11304406291748181</x:v>
      </x:c>
      <x:c r="C349" t="n">
        <x:f>MIN(47,INT(B349*47)+1)</x:f>
        <x:v>6</x:v>
      </x:c>
      <x:c r="D349" t="n">
        <x:f>INDEX(Datos_47_semanas!$B$4:$B$50,C349)</x:f>
        <x:v>155</x:v>
      </x:c>
      <x:c r="E349" t="n">
        <x:f>MIN($B$4,D349)*$B$7+MAX($B$4-D349,0)*$B$9-$B$4*$B$8</x:f>
        <x:v>71.75</x:v>
      </x:c>
      <x:c r="F349" t="n">
        <x:f>MIN($B$5,D349)*$B$7+MAX($B$5-D349,0)*$B$9-$B$5*$B$8</x:f>
        <x:v>44.25</x:v>
      </x:c>
      <x:c r="G349" t="n">
        <x:f>MIN($B$6,D349)*$B$7+MAX($B$6-D349,0)*$B$9-$B$6*$B$8</x:f>
        <x:v>-10.75</x:v>
      </x:c>
      <x:c r="H349" t="n">
        <x:f>MAX(D349-$B$5,0)</x:f>
        <x:v>0</x:v>
      </x:c>
      <x:c r="I349" t="n">
        <x:f>MAX($B$5-D349,0)</x:f>
        <x:v>145</x:v>
      </x:c>
    </x:row>
    <x:row r="350">
      <x:c r="A350" t="n">
        <x:f>338</x:f>
        <x:v>338</x:v>
      </x:c>
      <x:c r="B350" t="n">
        <x:f>RAND()</x:f>
        <x:v>0.6257042839508078</x:v>
      </x:c>
      <x:c r="C350" t="n">
        <x:f>MIN(47,INT(B350*47)+1)</x:f>
        <x:v>30</x:v>
      </x:c>
      <x:c r="D350" t="n">
        <x:f>INDEX(Datos_47_semanas!$B$4:$B$50,C350)</x:f>
        <x:v>345</x:v>
      </x:c>
      <x:c r="E350" t="n">
        <x:f>MIN($B$4,D350)*$B$7+MAX($B$4-D350,0)*$B$9-$B$4*$B$8</x:f>
        <x:v>200</x:v>
      </x:c>
      <x:c r="F350" t="n">
        <x:f>MIN($B$5,D350)*$B$7+MAX($B$5-D350,0)*$B$9-$B$5*$B$8</x:f>
        <x:v>240</x:v>
      </x:c>
      <x:c r="G350" t="n">
        <x:f>MIN($B$6,D350)*$B$7+MAX($B$6-D350,0)*$B$9-$B$6*$B$8</x:f>
        <x:v>245.75</x:v>
      </x:c>
      <x:c r="H350" t="n">
        <x:f>MAX(D350-$B$5,0)</x:f>
        <x:v>45</x:v>
      </x:c>
      <x:c r="I350" t="n">
        <x:f>MAX($B$5-D350,0)</x:f>
        <x:v>0</x:v>
      </x:c>
    </x:row>
    <x:row r="351">
      <x:c r="A351" t="n">
        <x:f>339</x:f>
        <x:v>339</x:v>
      </x:c>
      <x:c r="B351" t="n">
        <x:f>RAND()</x:f>
        <x:v>0.26049371512835273</x:v>
      </x:c>
      <x:c r="C351" t="n">
        <x:f>MIN(47,INT(B351*47)+1)</x:f>
        <x:v>13</x:v>
      </x:c>
      <x:c r="D351" t="n">
        <x:f>INDEX(Datos_47_semanas!$B$4:$B$50,C351)</x:f>
        <x:v>517</x:v>
      </x:c>
      <x:c r="E351" t="n">
        <x:f>MIN($B$4,D351)*$B$7+MAX($B$4-D351,0)*$B$9-$B$4*$B$8</x:f>
        <x:v>200</x:v>
      </x:c>
      <x:c r="F351" t="n">
        <x:f>MIN($B$5,D351)*$B$7+MAX($B$5-D351,0)*$B$9-$B$5*$B$8</x:f>
        <x:v>240</x:v>
      </x:c>
      <x:c r="G351" t="n">
        <x:f>MIN($B$6,D351)*$B$7+MAX($B$6-D351,0)*$B$9-$B$6*$B$8</x:f>
        <x:v>320</x:v>
      </x:c>
      <x:c r="H351" t="n">
        <x:f>MAX(D351-$B$5,0)</x:f>
        <x:v>217</x:v>
      </x:c>
      <x:c r="I351" t="n">
        <x:f>MAX($B$5-D351,0)</x:f>
        <x:v>0</x:v>
      </x:c>
    </x:row>
    <x:row r="352">
      <x:c r="A352" t="n">
        <x:f>340</x:f>
        <x:v>340</x:v>
      </x:c>
      <x:c r="B352" t="n">
        <x:f>RAND()</x:f>
        <x:v>0.6007539105815769</x:v>
      </x:c>
      <x:c r="C352" t="n">
        <x:f>MIN(47,INT(B352*47)+1)</x:f>
        <x:v>29</x:v>
      </x:c>
      <x:c r="D352" t="n">
        <x:f>INDEX(Datos_47_semanas!$B$4:$B$50,C352)</x:f>
        <x:v>415</x:v>
      </x:c>
      <x:c r="E352" t="n">
        <x:f>MIN($B$4,D352)*$B$7+MAX($B$4-D352,0)*$B$9-$B$4*$B$8</x:f>
        <x:v>200</x:v>
      </x:c>
      <x:c r="F352" t="n">
        <x:f>MIN($B$5,D352)*$B$7+MAX($B$5-D352,0)*$B$9-$B$5*$B$8</x:f>
        <x:v>240</x:v>
      </x:c>
      <x:c r="G352" t="n">
        <x:f>MIN($B$6,D352)*$B$7+MAX($B$6-D352,0)*$B$9-$B$6*$B$8</x:f>
        <x:v>320</x:v>
      </x:c>
      <x:c r="H352" t="n">
        <x:f>MAX(D352-$B$5,0)</x:f>
        <x:v>115</x:v>
      </x:c>
      <x:c r="I352" t="n">
        <x:f>MAX($B$5-D352,0)</x:f>
        <x:v>0</x:v>
      </x:c>
    </x:row>
    <x:row r="353">
      <x:c r="A353" t="n">
        <x:f>341</x:f>
        <x:v>341</x:v>
      </x:c>
      <x:c r="B353" t="n">
        <x:f>RAND()</x:f>
        <x:v>0.1580019625550425</x:v>
      </x:c>
      <x:c r="C353" t="n">
        <x:f>MIN(47,INT(B353*47)+1)</x:f>
        <x:v>8</x:v>
      </x:c>
      <x:c r="D353" t="n">
        <x:f>INDEX(Datos_47_semanas!$B$4:$B$50,C353)</x:f>
        <x:v>259</x:v>
      </x:c>
      <x:c r="E353" t="n">
        <x:f>MIN($B$4,D353)*$B$7+MAX($B$4-D353,0)*$B$9-$B$4*$B$8</x:f>
        <x:v>200</x:v>
      </x:c>
      <x:c r="F353" t="n">
        <x:f>MIN($B$5,D353)*$B$7+MAX($B$5-D353,0)*$B$9-$B$5*$B$8</x:f>
        <x:v>184.64999999999998</x:v>
      </x:c>
      <x:c r="G353" t="n">
        <x:f>MIN($B$6,D353)*$B$7+MAX($B$6-D353,0)*$B$9-$B$6*$B$8</x:f>
        <x:v>129.64999999999998</x:v>
      </x:c>
      <x:c r="H353" t="n">
        <x:f>MAX(D353-$B$5,0)</x:f>
        <x:v>0</x:v>
      </x:c>
      <x:c r="I353" t="n">
        <x:f>MAX($B$5-D353,0)</x:f>
        <x:v>41</x:v>
      </x:c>
    </x:row>
    <x:row r="354">
      <x:c r="A354" t="n">
        <x:f>342</x:f>
        <x:v>342</x:v>
      </x:c>
      <x:c r="B354" t="n">
        <x:f>RAND()</x:f>
        <x:v>0.9498941486783012</x:v>
      </x:c>
      <x:c r="C354" t="n">
        <x:f>MIN(47,INT(B354*47)+1)</x:f>
        <x:v>45</x:v>
      </x:c>
      <x:c r="D354" t="n">
        <x:f>INDEX(Datos_47_semanas!$B$4:$B$50,C354)</x:f>
        <x:v>526</x:v>
      </x:c>
      <x:c r="E354" t="n">
        <x:f>MIN($B$4,D354)*$B$7+MAX($B$4-D354,0)*$B$9-$B$4*$B$8</x:f>
        <x:v>200</x:v>
      </x:c>
      <x:c r="F354" t="n">
        <x:f>MIN($B$5,D354)*$B$7+MAX($B$5-D354,0)*$B$9-$B$5*$B$8</x:f>
        <x:v>240</x:v>
      </x:c>
      <x:c r="G354" t="n">
        <x:f>MIN($B$6,D354)*$B$7+MAX($B$6-D354,0)*$B$9-$B$6*$B$8</x:f>
        <x:v>320</x:v>
      </x:c>
      <x:c r="H354" t="n">
        <x:f>MAX(D354-$B$5,0)</x:f>
        <x:v>226</x:v>
      </x:c>
      <x:c r="I354" t="n">
        <x:f>MAX($B$5-D354,0)</x:f>
        <x:v>0</x:v>
      </x:c>
    </x:row>
    <x:row r="355">
      <x:c r="A355" t="n">
        <x:f>343</x:f>
        <x:v>343</x:v>
      </x:c>
      <x:c r="B355" t="n">
        <x:f>RAND()</x:f>
        <x:v>0.26565958712011684</x:v>
      </x:c>
      <x:c r="C355" t="n">
        <x:f>MIN(47,INT(B355*47)+1)</x:f>
        <x:v>13</x:v>
      </x:c>
      <x:c r="D355" t="n">
        <x:f>INDEX(Datos_47_semanas!$B$4:$B$50,C355)</x:f>
        <x:v>517</x:v>
      </x:c>
      <x:c r="E355" t="n">
        <x:f>MIN($B$4,D355)*$B$7+MAX($B$4-D355,0)*$B$9-$B$4*$B$8</x:f>
        <x:v>200</x:v>
      </x:c>
      <x:c r="F355" t="n">
        <x:f>MIN($B$5,D355)*$B$7+MAX($B$5-D355,0)*$B$9-$B$5*$B$8</x:f>
        <x:v>240</x:v>
      </x:c>
      <x:c r="G355" t="n">
        <x:f>MIN($B$6,D355)*$B$7+MAX($B$6-D355,0)*$B$9-$B$6*$B$8</x:f>
        <x:v>320</x:v>
      </x:c>
      <x:c r="H355" t="n">
        <x:f>MAX(D355-$B$5,0)</x:f>
        <x:v>217</x:v>
      </x:c>
      <x:c r="I355" t="n">
        <x:f>MAX($B$5-D355,0)</x:f>
        <x:v>0</x:v>
      </x:c>
    </x:row>
    <x:row r="356">
      <x:c r="A356" t="n">
        <x:f>344</x:f>
        <x:v>344</x:v>
      </x:c>
      <x:c r="B356" t="n">
        <x:f>RAND()</x:f>
        <x:v>0.045675433934894705</x:v>
      </x:c>
      <x:c r="C356" t="n">
        <x:f>MIN(47,INT(B356*47)+1)</x:f>
        <x:v>3</x:v>
      </x:c>
      <x:c r="D356" t="n">
        <x:f>INDEX(Datos_47_semanas!$B$4:$B$50,C356)</x:f>
        <x:v>128</x:v>
      </x:c>
      <x:c r="E356" t="n">
        <x:f>MIN($B$4,D356)*$B$7+MAX($B$4-D356,0)*$B$9-$B$4*$B$8</x:f>
        <x:v>35.29999999999998</x:v>
      </x:c>
      <x:c r="F356" t="n">
        <x:f>MIN($B$5,D356)*$B$7+MAX($B$5-D356,0)*$B$9-$B$5*$B$8</x:f>
        <x:v>7.800000000000011</x:v>
      </x:c>
      <x:c r="G356" t="n">
        <x:f>MIN($B$6,D356)*$B$7+MAX($B$6-D356,0)*$B$9-$B$6*$B$8</x:f>
        <x:v>-47.200000000000045</x:v>
      </x:c>
      <x:c r="H356" t="n">
        <x:f>MAX(D356-$B$5,0)</x:f>
        <x:v>0</x:v>
      </x:c>
      <x:c r="I356" t="n">
        <x:f>MAX($B$5-D356,0)</x:f>
        <x:v>172</x:v>
      </x:c>
    </x:row>
    <x:row r="357">
      <x:c r="A357" t="n">
        <x:f>345</x:f>
        <x:v>345</x:v>
      </x:c>
      <x:c r="B357" t="n">
        <x:f>RAND()</x:f>
        <x:v>0.025119425943933238</x:v>
      </x:c>
      <x:c r="C357" t="n">
        <x:f>MIN(47,INT(B357*47)+1)</x:f>
        <x:v>2</x:v>
      </x:c>
      <x:c r="D357" t="n">
        <x:f>INDEX(Datos_47_semanas!$B$4:$B$50,C357)</x:f>
        <x:v>282</x:v>
      </x:c>
      <x:c r="E357" t="n">
        <x:f>MIN($B$4,D357)*$B$7+MAX($B$4-D357,0)*$B$9-$B$4*$B$8</x:f>
        <x:v>200</x:v>
      </x:c>
      <x:c r="F357" t="n">
        <x:f>MIN($B$5,D357)*$B$7+MAX($B$5-D357,0)*$B$9-$B$5*$B$8</x:f>
        <x:v>215.69999999999993</x:v>
      </x:c>
      <x:c r="G357" t="n">
        <x:f>MIN($B$6,D357)*$B$7+MAX($B$6-D357,0)*$B$9-$B$6*$B$8</x:f>
        <x:v>160.69999999999993</x:v>
      </x:c>
      <x:c r="H357" t="n">
        <x:f>MAX(D357-$B$5,0)</x:f>
        <x:v>0</x:v>
      </x:c>
      <x:c r="I357" t="n">
        <x:f>MAX($B$5-D357,0)</x:f>
        <x:v>18</x:v>
      </x:c>
    </x:row>
    <x:row r="358">
      <x:c r="A358" t="n">
        <x:f>346</x:f>
        <x:v>346</x:v>
      </x:c>
      <x:c r="B358" t="n">
        <x:f>RAND()</x:f>
        <x:v>0.37758782129690416</x:v>
      </x:c>
      <x:c r="C358" t="n">
        <x:f>MIN(47,INT(B358*47)+1)</x:f>
        <x:v>18</x:v>
      </x:c>
      <x:c r="D358" t="n">
        <x:f>INDEX(Datos_47_semanas!$B$4:$B$50,C358)</x:f>
        <x:v>219</x:v>
      </x:c>
      <x:c r="E358" t="n">
        <x:f>MIN($B$4,D358)*$B$7+MAX($B$4-D358,0)*$B$9-$B$4*$B$8</x:f>
        <x:v>158.14999999999998</x:v>
      </x:c>
      <x:c r="F358" t="n">
        <x:f>MIN($B$5,D358)*$B$7+MAX($B$5-D358,0)*$B$9-$B$5*$B$8</x:f>
        <x:v>130.64999999999998</x:v>
      </x:c>
      <x:c r="G358" t="n">
        <x:f>MIN($B$6,D358)*$B$7+MAX($B$6-D358,0)*$B$9-$B$6*$B$8</x:f>
        <x:v>75.64999999999998</x:v>
      </x:c>
      <x:c r="H358" t="n">
        <x:f>MAX(D358-$B$5,0)</x:f>
        <x:v>0</x:v>
      </x:c>
      <x:c r="I358" t="n">
        <x:f>MAX($B$5-D358,0)</x:f>
        <x:v>81</x:v>
      </x:c>
    </x:row>
    <x:row r="359">
      <x:c r="A359" t="n">
        <x:f>347</x:f>
        <x:v>347</x:v>
      </x:c>
      <x:c r="B359" t="n">
        <x:f>RAND()</x:f>
        <x:v>0.37648808131078493</x:v>
      </x:c>
      <x:c r="C359" t="n">
        <x:f>MIN(47,INT(B359*47)+1)</x:f>
        <x:v>18</x:v>
      </x:c>
      <x:c r="D359" t="n">
        <x:f>INDEX(Datos_47_semanas!$B$4:$B$50,C359)</x:f>
        <x:v>219</x:v>
      </x:c>
      <x:c r="E359" t="n">
        <x:f>MIN($B$4,D359)*$B$7+MAX($B$4-D359,0)*$B$9-$B$4*$B$8</x:f>
        <x:v>158.14999999999998</x:v>
      </x:c>
      <x:c r="F359" t="n">
        <x:f>MIN($B$5,D359)*$B$7+MAX($B$5-D359,0)*$B$9-$B$5*$B$8</x:f>
        <x:v>130.64999999999998</x:v>
      </x:c>
      <x:c r="G359" t="n">
        <x:f>MIN($B$6,D359)*$B$7+MAX($B$6-D359,0)*$B$9-$B$6*$B$8</x:f>
        <x:v>75.64999999999998</x:v>
      </x:c>
      <x:c r="H359" t="n">
        <x:f>MAX(D359-$B$5,0)</x:f>
        <x:v>0</x:v>
      </x:c>
      <x:c r="I359" t="n">
        <x:f>MAX($B$5-D359,0)</x:f>
        <x:v>81</x:v>
      </x:c>
    </x:row>
    <x:row r="360">
      <x:c r="A360" t="n">
        <x:f>348</x:f>
        <x:v>348</x:v>
      </x:c>
      <x:c r="B360" t="n">
        <x:f>RAND()</x:f>
        <x:v>0.2153450665450135</x:v>
      </x:c>
      <x:c r="C360" t="n">
        <x:f>MIN(47,INT(B360*47)+1)</x:f>
        <x:v>11</x:v>
      </x:c>
      <x:c r="D360" t="n">
        <x:f>INDEX(Datos_47_semanas!$B$4:$B$50,C360)</x:f>
        <x:v>268</x:v>
      </x:c>
      <x:c r="E360" t="n">
        <x:f>MIN($B$4,D360)*$B$7+MAX($B$4-D360,0)*$B$9-$B$4*$B$8</x:f>
        <x:v>200</x:v>
      </x:c>
      <x:c r="F360" t="n">
        <x:f>MIN($B$5,D360)*$B$7+MAX($B$5-D360,0)*$B$9-$B$5*$B$8</x:f>
        <x:v>196.8</x:v>
      </x:c>
      <x:c r="G360" t="n">
        <x:f>MIN($B$6,D360)*$B$7+MAX($B$6-D360,0)*$B$9-$B$6*$B$8</x:f>
        <x:v>141.8</x:v>
      </x:c>
      <x:c r="H360" t="n">
        <x:f>MAX(D360-$B$5,0)</x:f>
        <x:v>0</x:v>
      </x:c>
      <x:c r="I360" t="n">
        <x:f>MAX($B$5-D360,0)</x:f>
        <x:v>32</x:v>
      </x:c>
    </x:row>
    <x:row r="361">
      <x:c r="A361" t="n">
        <x:f>349</x:f>
        <x:v>349</x:v>
      </x:c>
      <x:c r="B361" t="n">
        <x:f>RAND()</x:f>
        <x:v>0.615201282904884</x:v>
      </x:c>
      <x:c r="C361" t="n">
        <x:f>MIN(47,INT(B361*47)+1)</x:f>
        <x:v>29</x:v>
      </x:c>
      <x:c r="D361" t="n">
        <x:f>INDEX(Datos_47_semanas!$B$4:$B$50,C361)</x:f>
        <x:v>415</x:v>
      </x:c>
      <x:c r="E361" t="n">
        <x:f>MIN($B$4,D361)*$B$7+MAX($B$4-D361,0)*$B$9-$B$4*$B$8</x:f>
        <x:v>200</x:v>
      </x:c>
      <x:c r="F361" t="n">
        <x:f>MIN($B$5,D361)*$B$7+MAX($B$5-D361,0)*$B$9-$B$5*$B$8</x:f>
        <x:v>240</x:v>
      </x:c>
      <x:c r="G361" t="n">
        <x:f>MIN($B$6,D361)*$B$7+MAX($B$6-D361,0)*$B$9-$B$6*$B$8</x:f>
        <x:v>320</x:v>
      </x:c>
      <x:c r="H361" t="n">
        <x:f>MAX(D361-$B$5,0)</x:f>
        <x:v>115</x:v>
      </x:c>
      <x:c r="I361" t="n">
        <x:f>MAX($B$5-D361,0)</x:f>
        <x:v>0</x:v>
      </x:c>
    </x:row>
    <x:row r="362">
      <x:c r="A362" t="n">
        <x:f>350</x:f>
        <x:v>350</x:v>
      </x:c>
      <x:c r="B362" t="n">
        <x:f>RAND()</x:f>
        <x:v>0.7732164705275559</x:v>
      </x:c>
      <x:c r="C362" t="n">
        <x:f>MIN(47,INT(B362*47)+1)</x:f>
        <x:v>37</x:v>
      </x:c>
      <x:c r="D362" t="n">
        <x:f>INDEX(Datos_47_semanas!$B$4:$B$50,C362)</x:f>
        <x:v>299</x:v>
      </x:c>
      <x:c r="E362" t="n">
        <x:f>MIN($B$4,D362)*$B$7+MAX($B$4-D362,0)*$B$9-$B$4*$B$8</x:f>
        <x:v>200</x:v>
      </x:c>
      <x:c r="F362" t="n">
        <x:f>MIN($B$5,D362)*$B$7+MAX($B$5-D362,0)*$B$9-$B$5*$B$8</x:f>
        <x:v>238.64999999999998</x:v>
      </x:c>
      <x:c r="G362" t="n">
        <x:f>MIN($B$6,D362)*$B$7+MAX($B$6-D362,0)*$B$9-$B$6*$B$8</x:f>
        <x:v>183.64999999999998</x:v>
      </x:c>
      <x:c r="H362" t="n">
        <x:f>MAX(D362-$B$5,0)</x:f>
        <x:v>0</x:v>
      </x:c>
      <x:c r="I362" t="n">
        <x:f>MAX($B$5-D362,0)</x:f>
        <x:v>1</x:v>
      </x:c>
    </x:row>
    <x:row r="363">
      <x:c r="A363" t="n">
        <x:f>351</x:f>
        <x:v>351</x:v>
      </x:c>
      <x:c r="B363" t="n">
        <x:f>RAND()</x:f>
        <x:v>0.7140755528630854</x:v>
      </x:c>
      <x:c r="C363" t="n">
        <x:f>MIN(47,INT(B363*47)+1)</x:f>
        <x:v>34</x:v>
      </x:c>
      <x:c r="D363" t="n">
        <x:f>INDEX(Datos_47_semanas!$B$4:$B$50,C363)</x:f>
        <x:v>281</x:v>
      </x:c>
      <x:c r="E363" t="n">
        <x:f>MIN($B$4,D363)*$B$7+MAX($B$4-D363,0)*$B$9-$B$4*$B$8</x:f>
        <x:v>200</x:v>
      </x:c>
      <x:c r="F363" t="n">
        <x:f>MIN($B$5,D363)*$B$7+MAX($B$5-D363,0)*$B$9-$B$5*$B$8</x:f>
        <x:v>214.34999999999997</x:v>
      </x:c>
      <x:c r="G363" t="n">
        <x:f>MIN($B$6,D363)*$B$7+MAX($B$6-D363,0)*$B$9-$B$6*$B$8</x:f>
        <x:v>159.34999999999997</x:v>
      </x:c>
      <x:c r="H363" t="n">
        <x:f>MAX(D363-$B$5,0)</x:f>
        <x:v>0</x:v>
      </x:c>
      <x:c r="I363" t="n">
        <x:f>MAX($B$5-D363,0)</x:f>
        <x:v>19</x:v>
      </x:c>
    </x:row>
    <x:row r="364">
      <x:c r="A364" t="n">
        <x:f>352</x:f>
        <x:v>352</x:v>
      </x:c>
      <x:c r="B364" t="n">
        <x:f>RAND()</x:f>
        <x:v>0.81406553865809</x:v>
      </x:c>
      <x:c r="C364" t="n">
        <x:f>MIN(47,INT(B364*47)+1)</x:f>
        <x:v>39</x:v>
      </x:c>
      <x:c r="D364" t="n">
        <x:f>INDEX(Datos_47_semanas!$B$4:$B$50,C364)</x:f>
        <x:v>228</x:v>
      </x:c>
      <x:c r="E364" t="n">
        <x:f>MIN($B$4,D364)*$B$7+MAX($B$4-D364,0)*$B$9-$B$4*$B$8</x:f>
        <x:v>170.3</x:v>
      </x:c>
      <x:c r="F364" t="n">
        <x:f>MIN($B$5,D364)*$B$7+MAX($B$5-D364,0)*$B$9-$B$5*$B$8</x:f>
        <x:v>142.8</x:v>
      </x:c>
      <x:c r="G364" t="n">
        <x:f>MIN($B$6,D364)*$B$7+MAX($B$6-D364,0)*$B$9-$B$6*$B$8</x:f>
        <x:v>87.80000000000001</x:v>
      </x:c>
      <x:c r="H364" t="n">
        <x:f>MAX(D364-$B$5,0)</x:f>
        <x:v>0</x:v>
      </x:c>
      <x:c r="I364" t="n">
        <x:f>MAX($B$5-D364,0)</x:f>
        <x:v>72</x:v>
      </x:c>
    </x:row>
    <x:row r="365">
      <x:c r="A365" t="n">
        <x:f>353</x:f>
        <x:v>353</x:v>
      </x:c>
      <x:c r="B365" t="n">
        <x:f>RAND()</x:f>
        <x:v>0.08628974181345694</x:v>
      </x:c>
      <x:c r="C365" t="n">
        <x:f>MIN(47,INT(B365*47)+1)</x:f>
        <x:v>5</x:v>
      </x:c>
      <x:c r="D365" t="n">
        <x:f>INDEX(Datos_47_semanas!$B$4:$B$50,C365)</x:f>
        <x:v>347</x:v>
      </x:c>
      <x:c r="E365" t="n">
        <x:f>MIN($B$4,D365)*$B$7+MAX($B$4-D365,0)*$B$9-$B$4*$B$8</x:f>
        <x:v>200</x:v>
      </x:c>
      <x:c r="F365" t="n">
        <x:f>MIN($B$5,D365)*$B$7+MAX($B$5-D365,0)*$B$9-$B$5*$B$8</x:f>
        <x:v>240</x:v>
      </x:c>
      <x:c r="G365" t="n">
        <x:f>MIN($B$6,D365)*$B$7+MAX($B$6-D365,0)*$B$9-$B$6*$B$8</x:f>
        <x:v>248.44999999999993</x:v>
      </x:c>
      <x:c r="H365" t="n">
        <x:f>MAX(D365-$B$5,0)</x:f>
        <x:v>47</x:v>
      </x:c>
      <x:c r="I365" t="n">
        <x:f>MAX($B$5-D365,0)</x:f>
        <x:v>0</x:v>
      </x:c>
    </x:row>
    <x:row r="366">
      <x:c r="A366" t="n">
        <x:f>354</x:f>
        <x:v>354</x:v>
      </x:c>
      <x:c r="B366" t="n">
        <x:f>RAND()</x:f>
        <x:v>0.052108058146191905</x:v>
      </x:c>
      <x:c r="C366" t="n">
        <x:f>MIN(47,INT(B366*47)+1)</x:f>
        <x:v>3</x:v>
      </x:c>
      <x:c r="D366" t="n">
        <x:f>INDEX(Datos_47_semanas!$B$4:$B$50,C366)</x:f>
        <x:v>128</x:v>
      </x:c>
      <x:c r="E366" t="n">
        <x:f>MIN($B$4,D366)*$B$7+MAX($B$4-D366,0)*$B$9-$B$4*$B$8</x:f>
        <x:v>35.29999999999998</x:v>
      </x:c>
      <x:c r="F366" t="n">
        <x:f>MIN($B$5,D366)*$B$7+MAX($B$5-D366,0)*$B$9-$B$5*$B$8</x:f>
        <x:v>7.800000000000011</x:v>
      </x:c>
      <x:c r="G366" t="n">
        <x:f>MIN($B$6,D366)*$B$7+MAX($B$6-D366,0)*$B$9-$B$6*$B$8</x:f>
        <x:v>-47.200000000000045</x:v>
      </x:c>
      <x:c r="H366" t="n">
        <x:f>MAX(D366-$B$5,0)</x:f>
        <x:v>0</x:v>
      </x:c>
      <x:c r="I366" t="n">
        <x:f>MAX($B$5-D366,0)</x:f>
        <x:v>172</x:v>
      </x:c>
    </x:row>
    <x:row r="367">
      <x:c r="A367" t="n">
        <x:f>355</x:f>
        <x:v>355</x:v>
      </x:c>
      <x:c r="B367" t="n">
        <x:f>RAND()</x:f>
        <x:v>0.06779717794156237</x:v>
      </x:c>
      <x:c r="C367" t="n">
        <x:f>MIN(47,INT(B367*47)+1)</x:f>
        <x:v>4</x:v>
      </x:c>
      <x:c r="D367" t="n">
        <x:f>INDEX(Datos_47_semanas!$B$4:$B$50,C367)</x:f>
        <x:v>161</x:v>
      </x:c>
      <x:c r="E367" t="n">
        <x:f>MIN($B$4,D367)*$B$7+MAX($B$4-D367,0)*$B$9-$B$4*$B$8</x:f>
        <x:v>79.84999999999997</x:v>
      </x:c>
      <x:c r="F367" t="n">
        <x:f>MIN($B$5,D367)*$B$7+MAX($B$5-D367,0)*$B$9-$B$5*$B$8</x:f>
        <x:v>52.349999999999966</x:v>
      </x:c>
      <x:c r="G367" t="n">
        <x:f>MIN($B$6,D367)*$B$7+MAX($B$6-D367,0)*$B$9-$B$6*$B$8</x:f>
        <x:v>-2.650000000000034</x:v>
      </x:c>
      <x:c r="H367" t="n">
        <x:f>MAX(D367-$B$5,0)</x:f>
        <x:v>0</x:v>
      </x:c>
      <x:c r="I367" t="n">
        <x:f>MAX($B$5-D367,0)</x:f>
        <x:v>139</x:v>
      </x:c>
    </x:row>
    <x:row r="368">
      <x:c r="A368" t="n">
        <x:f>356</x:f>
        <x:v>356</x:v>
      </x:c>
      <x:c r="B368" t="n">
        <x:f>RAND()</x:f>
        <x:v>0.34095269027593544</x:v>
      </x:c>
      <x:c r="C368" t="n">
        <x:f>MIN(47,INT(B368*47)+1)</x:f>
        <x:v>17</x:v>
      </x:c>
      <x:c r="D368" t="n">
        <x:f>INDEX(Datos_47_semanas!$B$4:$B$50,C368)</x:f>
        <x:v>154</x:v>
      </x:c>
      <x:c r="E368" t="n">
        <x:f>MIN($B$4,D368)*$B$7+MAX($B$4-D368,0)*$B$9-$B$4*$B$8</x:f>
        <x:v>70.39999999999998</x:v>
      </x:c>
      <x:c r="F368" t="n">
        <x:f>MIN($B$5,D368)*$B$7+MAX($B$5-D368,0)*$B$9-$B$5*$B$8</x:f>
        <x:v>42.89999999999998</x:v>
      </x:c>
      <x:c r="G368" t="n">
        <x:f>MIN($B$6,D368)*$B$7+MAX($B$6-D368,0)*$B$9-$B$6*$B$8</x:f>
        <x:v>-12.100000000000023</x:v>
      </x:c>
      <x:c r="H368" t="n">
        <x:f>MAX(D368-$B$5,0)</x:f>
        <x:v>0</x:v>
      </x:c>
      <x:c r="I368" t="n">
        <x:f>MAX($B$5-D368,0)</x:f>
        <x:v>146</x:v>
      </x:c>
    </x:row>
    <x:row r="369">
      <x:c r="A369" t="n">
        <x:f>357</x:f>
        <x:v>357</x:v>
      </x:c>
      <x:c r="B369" t="n">
        <x:f>RAND()</x:f>
        <x:v>0.08587066611310201</x:v>
      </x:c>
      <x:c r="C369" t="n">
        <x:f>MIN(47,INT(B369*47)+1)</x:f>
        <x:v>5</x:v>
      </x:c>
      <x:c r="D369" t="n">
        <x:f>INDEX(Datos_47_semanas!$B$4:$B$50,C369)</x:f>
        <x:v>347</x:v>
      </x:c>
      <x:c r="E369" t="n">
        <x:f>MIN($B$4,D369)*$B$7+MAX($B$4-D369,0)*$B$9-$B$4*$B$8</x:f>
        <x:v>200</x:v>
      </x:c>
      <x:c r="F369" t="n">
        <x:f>MIN($B$5,D369)*$B$7+MAX($B$5-D369,0)*$B$9-$B$5*$B$8</x:f>
        <x:v>240</x:v>
      </x:c>
      <x:c r="G369" t="n">
        <x:f>MIN($B$6,D369)*$B$7+MAX($B$6-D369,0)*$B$9-$B$6*$B$8</x:f>
        <x:v>248.44999999999993</x:v>
      </x:c>
      <x:c r="H369" t="n">
        <x:f>MAX(D369-$B$5,0)</x:f>
        <x:v>47</x:v>
      </x:c>
      <x:c r="I369" t="n">
        <x:f>MAX($B$5-D369,0)</x:f>
        <x:v>0</x:v>
      </x:c>
    </x:row>
    <x:row r="370">
      <x:c r="A370" t="n">
        <x:f>358</x:f>
        <x:v>358</x:v>
      </x:c>
      <x:c r="B370" t="n">
        <x:f>RAND()</x:f>
        <x:v>0.21048058769822786</x:v>
      </x:c>
      <x:c r="C370" t="n">
        <x:f>MIN(47,INT(B370*47)+1)</x:f>
        <x:v>10</x:v>
      </x:c>
      <x:c r="D370" t="n">
        <x:f>INDEX(Datos_47_semanas!$B$4:$B$50,C370)</x:f>
        <x:v>98</x:v>
      </x:c>
      <x:c r="E370" t="n">
        <x:f>MIN($B$4,D370)*$B$7+MAX($B$4-D370,0)*$B$9-$B$4*$B$8</x:f>
        <x:v>-5.200000000000017</x:v>
      </x:c>
      <x:c r="F370" t="n">
        <x:f>MIN($B$5,D370)*$B$7+MAX($B$5-D370,0)*$B$9-$B$5*$B$8</x:f>
        <x:v>-32.70000000000002</x:v>
      </x:c>
      <x:c r="G370" t="n">
        <x:f>MIN($B$6,D370)*$B$7+MAX($B$6-D370,0)*$B$9-$B$6*$B$8</x:f>
        <x:v>-87.70000000000002</x:v>
      </x:c>
      <x:c r="H370" t="n">
        <x:f>MAX(D370-$B$5,0)</x:f>
        <x:v>0</x:v>
      </x:c>
      <x:c r="I370" t="n">
        <x:f>MAX($B$5-D370,0)</x:f>
        <x:v>202</x:v>
      </x:c>
    </x:row>
    <x:row r="371">
      <x:c r="A371" t="n">
        <x:f>359</x:f>
        <x:v>359</x:v>
      </x:c>
      <x:c r="B371" t="n">
        <x:f>RAND()</x:f>
        <x:v>0.6943447500550514</x:v>
      </x:c>
      <x:c r="C371" t="n">
        <x:f>MIN(47,INT(B371*47)+1)</x:f>
        <x:v>33</x:v>
      </x:c>
      <x:c r="D371" t="n">
        <x:f>INDEX(Datos_47_semanas!$B$4:$B$50,C371)</x:f>
        <x:v>373</x:v>
      </x:c>
      <x:c r="E371" t="n">
        <x:f>MIN($B$4,D371)*$B$7+MAX($B$4-D371,0)*$B$9-$B$4*$B$8</x:f>
        <x:v>200</x:v>
      </x:c>
      <x:c r="F371" t="n">
        <x:f>MIN($B$5,D371)*$B$7+MAX($B$5-D371,0)*$B$9-$B$5*$B$8</x:f>
        <x:v>240</x:v>
      </x:c>
      <x:c r="G371" t="n">
        <x:f>MIN($B$6,D371)*$B$7+MAX($B$6-D371,0)*$B$9-$B$6*$B$8</x:f>
        <x:v>283.54999999999995</x:v>
      </x:c>
      <x:c r="H371" t="n">
        <x:f>MAX(D371-$B$5,0)</x:f>
        <x:v>73</x:v>
      </x:c>
      <x:c r="I371" t="n">
        <x:f>MAX($B$5-D371,0)</x:f>
        <x:v>0</x:v>
      </x:c>
    </x:row>
    <x:row r="372">
      <x:c r="A372" t="n">
        <x:f>360</x:f>
        <x:v>360</x:v>
      </x:c>
      <x:c r="B372" t="n">
        <x:f>RAND()</x:f>
        <x:v>0.8783154870881856</x:v>
      </x:c>
      <x:c r="C372" t="n">
        <x:f>MIN(47,INT(B372*47)+1)</x:f>
        <x:v>42</x:v>
      </x:c>
      <x:c r="D372" t="n">
        <x:f>INDEX(Datos_47_semanas!$B$4:$B$50,C372)</x:f>
        <x:v>146</x:v>
      </x:c>
      <x:c r="E372" t="n">
        <x:f>MIN($B$4,D372)*$B$7+MAX($B$4-D372,0)*$B$9-$B$4*$B$8</x:f>
        <x:v>59.599999999999966</x:v>
      </x:c>
      <x:c r="F372" t="n">
        <x:f>MIN($B$5,D372)*$B$7+MAX($B$5-D372,0)*$B$9-$B$5*$B$8</x:f>
        <x:v>32.099999999999966</x:v>
      </x:c>
      <x:c r="G372" t="n">
        <x:f>MIN($B$6,D372)*$B$7+MAX($B$6-D372,0)*$B$9-$B$6*$B$8</x:f>
        <x:v>-22.900000000000034</x:v>
      </x:c>
      <x:c r="H372" t="n">
        <x:f>MAX(D372-$B$5,0)</x:f>
        <x:v>0</x:v>
      </x:c>
      <x:c r="I372" t="n">
        <x:f>MAX($B$5-D372,0)</x:f>
        <x:v>154</x:v>
      </x:c>
    </x:row>
    <x:row r="373">
      <x:c r="A373" t="n">
        <x:f>361</x:f>
        <x:v>361</x:v>
      </x:c>
      <x:c r="B373" t="n">
        <x:f>RAND()</x:f>
        <x:v>0.9962238652798298</x:v>
      </x:c>
      <x:c r="C373" t="n">
        <x:f>MIN(47,INT(B373*47)+1)</x:f>
        <x:v>47</x:v>
      </x:c>
      <x:c r="D373" t="n">
        <x:f>INDEX(Datos_47_semanas!$B$4:$B$50,C373)</x:f>
        <x:v>256</x:v>
      </x:c>
      <x:c r="E373" t="n">
        <x:f>MIN($B$4,D373)*$B$7+MAX($B$4-D373,0)*$B$9-$B$4*$B$8</x:f>
        <x:v>200</x:v>
      </x:c>
      <x:c r="F373" t="n">
        <x:f>MIN($B$5,D373)*$B$7+MAX($B$5-D373,0)*$B$9-$B$5*$B$8</x:f>
        <x:v>180.59999999999997</x:v>
      </x:c>
      <x:c r="G373" t="n">
        <x:f>MIN($B$6,D373)*$B$7+MAX($B$6-D373,0)*$B$9-$B$6*$B$8</x:f>
        <x:v>125.59999999999997</x:v>
      </x:c>
      <x:c r="H373" t="n">
        <x:f>MAX(D373-$B$5,0)</x:f>
        <x:v>0</x:v>
      </x:c>
      <x:c r="I373" t="n">
        <x:f>MAX($B$5-D373,0)</x:f>
        <x:v>44</x:v>
      </x:c>
    </x:row>
    <x:row r="374">
      <x:c r="A374" t="n">
        <x:f>362</x:f>
        <x:v>362</x:v>
      </x:c>
      <x:c r="B374" t="n">
        <x:f>RAND()</x:f>
        <x:v>0.7910900895774339</x:v>
      </x:c>
      <x:c r="C374" t="n">
        <x:f>MIN(47,INT(B374*47)+1)</x:f>
        <x:v>38</x:v>
      </x:c>
      <x:c r="D374" t="n">
        <x:f>INDEX(Datos_47_semanas!$B$4:$B$50,C374)</x:f>
        <x:v>212</x:v>
      </x:c>
      <x:c r="E374" t="n">
        <x:f>MIN($B$4,D374)*$B$7+MAX($B$4-D374,0)*$B$9-$B$4*$B$8</x:f>
        <x:v>148.69999999999993</x:v>
      </x:c>
      <x:c r="F374" t="n">
        <x:f>MIN($B$5,D374)*$B$7+MAX($B$5-D374,0)*$B$9-$B$5*$B$8</x:f>
        <x:v>121.19999999999993</x:v>
      </x:c>
      <x:c r="G374" t="n">
        <x:f>MIN($B$6,D374)*$B$7+MAX($B$6-D374,0)*$B$9-$B$6*$B$8</x:f>
        <x:v>66.19999999999993</x:v>
      </x:c>
      <x:c r="H374" t="n">
        <x:f>MAX(D374-$B$5,0)</x:f>
        <x:v>0</x:v>
      </x:c>
      <x:c r="I374" t="n">
        <x:f>MAX($B$5-D374,0)</x:f>
        <x:v>88</x:v>
      </x:c>
    </x:row>
    <x:row r="375">
      <x:c r="A375" t="n">
        <x:f>363</x:f>
        <x:v>363</x:v>
      </x:c>
      <x:c r="B375" t="n">
        <x:f>RAND()</x:f>
        <x:v>0.2767889040335544</x:v>
      </x:c>
      <x:c r="C375" t="n">
        <x:f>MIN(47,INT(B375*47)+1)</x:f>
        <x:v>14</x:v>
      </x:c>
      <x:c r="D375" t="n">
        <x:f>INDEX(Datos_47_semanas!$B$4:$B$50,C375)</x:f>
        <x:v>187</x:v>
      </x:c>
      <x:c r="E375" t="n">
        <x:f>MIN($B$4,D375)*$B$7+MAX($B$4-D375,0)*$B$9-$B$4*$B$8</x:f>
        <x:v>114.94999999999999</x:v>
      </x:c>
      <x:c r="F375" t="n">
        <x:f>MIN($B$5,D375)*$B$7+MAX($B$5-D375,0)*$B$9-$B$5*$B$8</x:f>
        <x:v>87.44999999999999</x:v>
      </x:c>
      <x:c r="G375" t="n">
        <x:f>MIN($B$6,D375)*$B$7+MAX($B$6-D375,0)*$B$9-$B$6*$B$8</x:f>
        <x:v>32.44999999999999</x:v>
      </x:c>
      <x:c r="H375" t="n">
        <x:f>MAX(D375-$B$5,0)</x:f>
        <x:v>0</x:v>
      </x:c>
      <x:c r="I375" t="n">
        <x:f>MAX($B$5-D375,0)</x:f>
        <x:v>113</x:v>
      </x:c>
    </x:row>
    <x:row r="376">
      <x:c r="A376" t="n">
        <x:f>364</x:f>
        <x:v>364</x:v>
      </x:c>
      <x:c r="B376" t="n">
        <x:f>RAND()</x:f>
        <x:v>0.39244163101309437</x:v>
      </x:c>
      <x:c r="C376" t="n">
        <x:f>MIN(47,INT(B376*47)+1)</x:f>
        <x:v>19</x:v>
      </x:c>
      <x:c r="D376" t="n">
        <x:f>INDEX(Datos_47_semanas!$B$4:$B$50,C376)</x:f>
        <x:v>470</x:v>
      </x:c>
      <x:c r="E376" t="n">
        <x:f>MIN($B$4,D376)*$B$7+MAX($B$4-D376,0)*$B$9-$B$4*$B$8</x:f>
        <x:v>200</x:v>
      </x:c>
      <x:c r="F376" t="n">
        <x:f>MIN($B$5,D376)*$B$7+MAX($B$5-D376,0)*$B$9-$B$5*$B$8</x:f>
        <x:v>240</x:v>
      </x:c>
      <x:c r="G376" t="n">
        <x:f>MIN($B$6,D376)*$B$7+MAX($B$6-D376,0)*$B$9-$B$6*$B$8</x:f>
        <x:v>320</x:v>
      </x:c>
      <x:c r="H376" t="n">
        <x:f>MAX(D376-$B$5,0)</x:f>
        <x:v>170</x:v>
      </x:c>
      <x:c r="I376" t="n">
        <x:f>MAX($B$5-D376,0)</x:f>
        <x:v>0</x:v>
      </x:c>
    </x:row>
    <x:row r="377">
      <x:c r="A377" t="n">
        <x:f>365</x:f>
        <x:v>365</x:v>
      </x:c>
      <x:c r="B377" t="n">
        <x:f>RAND()</x:f>
        <x:v>0.23522712655531153</x:v>
      </x:c>
      <x:c r="C377" t="n">
        <x:f>MIN(47,INT(B377*47)+1)</x:f>
        <x:v>12</x:v>
      </x:c>
      <x:c r="D377" t="n">
        <x:f>INDEX(Datos_47_semanas!$B$4:$B$50,C377)</x:f>
        <x:v>336</x:v>
      </x:c>
      <x:c r="E377" t="n">
        <x:f>MIN($B$4,D377)*$B$7+MAX($B$4-D377,0)*$B$9-$B$4*$B$8</x:f>
        <x:v>200</x:v>
      </x:c>
      <x:c r="F377" t="n">
        <x:f>MIN($B$5,D377)*$B$7+MAX($B$5-D377,0)*$B$9-$B$5*$B$8</x:f>
        <x:v>240</x:v>
      </x:c>
      <x:c r="G377" t="n">
        <x:f>MIN($B$6,D377)*$B$7+MAX($B$6-D377,0)*$B$9-$B$6*$B$8</x:f>
        <x:v>233.60000000000002</x:v>
      </x:c>
      <x:c r="H377" t="n">
        <x:f>MAX(D377-$B$5,0)</x:f>
        <x:v>36</x:v>
      </x:c>
      <x:c r="I377" t="n">
        <x:f>MAX($B$5-D377,0)</x:f>
        <x:v>0</x:v>
      </x:c>
    </x:row>
    <x:row r="378">
      <x:c r="A378" t="n">
        <x:f>366</x:f>
        <x:v>366</x:v>
      </x:c>
      <x:c r="B378" t="n">
        <x:f>RAND()</x:f>
        <x:v>0.8461320944888359</x:v>
      </x:c>
      <x:c r="C378" t="n">
        <x:f>MIN(47,INT(B378*47)+1)</x:f>
        <x:v>40</x:v>
      </x:c>
      <x:c r="D378" t="n">
        <x:f>INDEX(Datos_47_semanas!$B$4:$B$50,C378)</x:f>
        <x:v>278</x:v>
      </x:c>
      <x:c r="E378" t="n">
        <x:f>MIN($B$4,D378)*$B$7+MAX($B$4-D378,0)*$B$9-$B$4*$B$8</x:f>
        <x:v>200</x:v>
      </x:c>
      <x:c r="F378" t="n">
        <x:f>MIN($B$5,D378)*$B$7+MAX($B$5-D378,0)*$B$9-$B$5*$B$8</x:f>
        <x:v>210.3</x:v>
      </x:c>
      <x:c r="G378" t="n">
        <x:f>MIN($B$6,D378)*$B$7+MAX($B$6-D378,0)*$B$9-$B$6*$B$8</x:f>
        <x:v>155.3</x:v>
      </x:c>
      <x:c r="H378" t="n">
        <x:f>MAX(D378-$B$5,0)</x:f>
        <x:v>0</x:v>
      </x:c>
      <x:c r="I378" t="n">
        <x:f>MAX($B$5-D378,0)</x:f>
        <x:v>22</x:v>
      </x:c>
    </x:row>
    <x:row r="379">
      <x:c r="A379" t="n">
        <x:f>367</x:f>
        <x:v>367</x:v>
      </x:c>
      <x:c r="B379" t="n">
        <x:f>RAND()</x:f>
        <x:v>0.8316050109150995</x:v>
      </x:c>
      <x:c r="C379" t="n">
        <x:f>MIN(47,INT(B379*47)+1)</x:f>
        <x:v>40</x:v>
      </x:c>
      <x:c r="D379" t="n">
        <x:f>INDEX(Datos_47_semanas!$B$4:$B$50,C379)</x:f>
        <x:v>278</x:v>
      </x:c>
      <x:c r="E379" t="n">
        <x:f>MIN($B$4,D379)*$B$7+MAX($B$4-D379,0)*$B$9-$B$4*$B$8</x:f>
        <x:v>200</x:v>
      </x:c>
      <x:c r="F379" t="n">
        <x:f>MIN($B$5,D379)*$B$7+MAX($B$5-D379,0)*$B$9-$B$5*$B$8</x:f>
        <x:v>210.3</x:v>
      </x:c>
      <x:c r="G379" t="n">
        <x:f>MIN($B$6,D379)*$B$7+MAX($B$6-D379,0)*$B$9-$B$6*$B$8</x:f>
        <x:v>155.3</x:v>
      </x:c>
      <x:c r="H379" t="n">
        <x:f>MAX(D379-$B$5,0)</x:f>
        <x:v>0</x:v>
      </x:c>
      <x:c r="I379" t="n">
        <x:f>MAX($B$5-D379,0)</x:f>
        <x:v>22</x:v>
      </x:c>
    </x:row>
    <x:row r="380">
      <x:c r="A380" t="n">
        <x:f>368</x:f>
        <x:v>368</x:v>
      </x:c>
      <x:c r="B380" t="n">
        <x:f>RAND()</x:f>
        <x:v>0.15417973271763585</x:v>
      </x:c>
      <x:c r="C380" t="n">
        <x:f>MIN(47,INT(B380*47)+1)</x:f>
        <x:v>8</x:v>
      </x:c>
      <x:c r="D380" t="n">
        <x:f>INDEX(Datos_47_semanas!$B$4:$B$50,C380)</x:f>
        <x:v>259</x:v>
      </x:c>
      <x:c r="E380" t="n">
        <x:f>MIN($B$4,D380)*$B$7+MAX($B$4-D380,0)*$B$9-$B$4*$B$8</x:f>
        <x:v>200</x:v>
      </x:c>
      <x:c r="F380" t="n">
        <x:f>MIN($B$5,D380)*$B$7+MAX($B$5-D380,0)*$B$9-$B$5*$B$8</x:f>
        <x:v>184.64999999999998</x:v>
      </x:c>
      <x:c r="G380" t="n">
        <x:f>MIN($B$6,D380)*$B$7+MAX($B$6-D380,0)*$B$9-$B$6*$B$8</x:f>
        <x:v>129.64999999999998</x:v>
      </x:c>
      <x:c r="H380" t="n">
        <x:f>MAX(D380-$B$5,0)</x:f>
        <x:v>0</x:v>
      </x:c>
      <x:c r="I380" t="n">
        <x:f>MAX($B$5-D380,0)</x:f>
        <x:v>41</x:v>
      </x:c>
    </x:row>
    <x:row r="381">
      <x:c r="A381" t="n">
        <x:f>369</x:f>
        <x:v>369</x:v>
      </x:c>
      <x:c r="B381" t="n">
        <x:f>RAND()</x:f>
        <x:v>0.8051750781180883</x:v>
      </x:c>
      <x:c r="C381" t="n">
        <x:f>MIN(47,INT(B381*47)+1)</x:f>
        <x:v>38</x:v>
      </x:c>
      <x:c r="D381" t="n">
        <x:f>INDEX(Datos_47_semanas!$B$4:$B$50,C381)</x:f>
        <x:v>212</x:v>
      </x:c>
      <x:c r="E381" t="n">
        <x:f>MIN($B$4,D381)*$B$7+MAX($B$4-D381,0)*$B$9-$B$4*$B$8</x:f>
        <x:v>148.69999999999993</x:v>
      </x:c>
      <x:c r="F381" t="n">
        <x:f>MIN($B$5,D381)*$B$7+MAX($B$5-D381,0)*$B$9-$B$5*$B$8</x:f>
        <x:v>121.19999999999993</x:v>
      </x:c>
      <x:c r="G381" t="n">
        <x:f>MIN($B$6,D381)*$B$7+MAX($B$6-D381,0)*$B$9-$B$6*$B$8</x:f>
        <x:v>66.19999999999993</x:v>
      </x:c>
      <x:c r="H381" t="n">
        <x:f>MAX(D381-$B$5,0)</x:f>
        <x:v>0</x:v>
      </x:c>
      <x:c r="I381" t="n">
        <x:f>MAX($B$5-D381,0)</x:f>
        <x:v>88</x:v>
      </x:c>
    </x:row>
    <x:row r="382">
      <x:c r="A382" t="n">
        <x:f>370</x:f>
        <x:v>370</x:v>
      </x:c>
      <x:c r="B382" t="n">
        <x:f>RAND()</x:f>
        <x:v>0.8063047044056644</x:v>
      </x:c>
      <x:c r="C382" t="n">
        <x:f>MIN(47,INT(B382*47)+1)</x:f>
        <x:v>38</x:v>
      </x:c>
      <x:c r="D382" t="n">
        <x:f>INDEX(Datos_47_semanas!$B$4:$B$50,C382)</x:f>
        <x:v>212</x:v>
      </x:c>
      <x:c r="E382" t="n">
        <x:f>MIN($B$4,D382)*$B$7+MAX($B$4-D382,0)*$B$9-$B$4*$B$8</x:f>
        <x:v>148.69999999999993</x:v>
      </x:c>
      <x:c r="F382" t="n">
        <x:f>MIN($B$5,D382)*$B$7+MAX($B$5-D382,0)*$B$9-$B$5*$B$8</x:f>
        <x:v>121.19999999999993</x:v>
      </x:c>
      <x:c r="G382" t="n">
        <x:f>MIN($B$6,D382)*$B$7+MAX($B$6-D382,0)*$B$9-$B$6*$B$8</x:f>
        <x:v>66.19999999999993</x:v>
      </x:c>
      <x:c r="H382" t="n">
        <x:f>MAX(D382-$B$5,0)</x:f>
        <x:v>0</x:v>
      </x:c>
      <x:c r="I382" t="n">
        <x:f>MAX($B$5-D382,0)</x:f>
        <x:v>88</x:v>
      </x:c>
    </x:row>
    <x:row r="383">
      <x:c r="A383" t="n">
        <x:f>371</x:f>
        <x:v>371</x:v>
      </x:c>
      <x:c r="B383" t="n">
        <x:f>RAND()</x:f>
        <x:v>0.815192805385965</x:v>
      </x:c>
      <x:c r="C383" t="n">
        <x:f>MIN(47,INT(B383*47)+1)</x:f>
        <x:v>39</x:v>
      </x:c>
      <x:c r="D383" t="n">
        <x:f>INDEX(Datos_47_semanas!$B$4:$B$50,C383)</x:f>
        <x:v>228</x:v>
      </x:c>
      <x:c r="E383" t="n">
        <x:f>MIN($B$4,D383)*$B$7+MAX($B$4-D383,0)*$B$9-$B$4*$B$8</x:f>
        <x:v>170.3</x:v>
      </x:c>
      <x:c r="F383" t="n">
        <x:f>MIN($B$5,D383)*$B$7+MAX($B$5-D383,0)*$B$9-$B$5*$B$8</x:f>
        <x:v>142.8</x:v>
      </x:c>
      <x:c r="G383" t="n">
        <x:f>MIN($B$6,D383)*$B$7+MAX($B$6-D383,0)*$B$9-$B$6*$B$8</x:f>
        <x:v>87.80000000000001</x:v>
      </x:c>
      <x:c r="H383" t="n">
        <x:f>MAX(D383-$B$5,0)</x:f>
        <x:v>0</x:v>
      </x:c>
      <x:c r="I383" t="n">
        <x:f>MAX($B$5-D383,0)</x:f>
        <x:v>72</x:v>
      </x:c>
    </x:row>
    <x:row r="384">
      <x:c r="A384" t="n">
        <x:f>372</x:f>
        <x:v>372</x:v>
      </x:c>
      <x:c r="B384" t="n">
        <x:f>RAND()</x:f>
        <x:v>0.8275330765116725</x:v>
      </x:c>
      <x:c r="C384" t="n">
        <x:f>MIN(47,INT(B384*47)+1)</x:f>
        <x:v>39</x:v>
      </x:c>
      <x:c r="D384" t="n">
        <x:f>INDEX(Datos_47_semanas!$B$4:$B$50,C384)</x:f>
        <x:v>228</x:v>
      </x:c>
      <x:c r="E384" t="n">
        <x:f>MIN($B$4,D384)*$B$7+MAX($B$4-D384,0)*$B$9-$B$4*$B$8</x:f>
        <x:v>170.3</x:v>
      </x:c>
      <x:c r="F384" t="n">
        <x:f>MIN($B$5,D384)*$B$7+MAX($B$5-D384,0)*$B$9-$B$5*$B$8</x:f>
        <x:v>142.8</x:v>
      </x:c>
      <x:c r="G384" t="n">
        <x:f>MIN($B$6,D384)*$B$7+MAX($B$6-D384,0)*$B$9-$B$6*$B$8</x:f>
        <x:v>87.80000000000001</x:v>
      </x:c>
      <x:c r="H384" t="n">
        <x:f>MAX(D384-$B$5,0)</x:f>
        <x:v>0</x:v>
      </x:c>
      <x:c r="I384" t="n">
        <x:f>MAX($B$5-D384,0)</x:f>
        <x:v>72</x:v>
      </x:c>
    </x:row>
    <x:row r="385">
      <x:c r="A385" t="n">
        <x:f>373</x:f>
        <x:v>373</x:v>
      </x:c>
      <x:c r="B385" t="n">
        <x:f>RAND()</x:f>
        <x:v>0.0017951233965822766</x:v>
      </x:c>
      <x:c r="C385" t="n">
        <x:f>MIN(47,INT(B385*47)+1)</x:f>
        <x:v>1</x:v>
      </x:c>
      <x:c r="D385" t="n">
        <x:f>INDEX(Datos_47_semanas!$B$4:$B$50,C385)</x:f>
        <x:v>418</x:v>
      </x:c>
      <x:c r="E385" t="n">
        <x:f>MIN($B$4,D385)*$B$7+MAX($B$4-D385,0)*$B$9-$B$4*$B$8</x:f>
        <x:v>200</x:v>
      </x:c>
      <x:c r="F385" t="n">
        <x:f>MIN($B$5,D385)*$B$7+MAX($B$5-D385,0)*$B$9-$B$5*$B$8</x:f>
        <x:v>240</x:v>
      </x:c>
      <x:c r="G385" t="n">
        <x:f>MIN($B$6,D385)*$B$7+MAX($B$6-D385,0)*$B$9-$B$6*$B$8</x:f>
        <x:v>320</x:v>
      </x:c>
      <x:c r="H385" t="n">
        <x:f>MAX(D385-$B$5,0)</x:f>
        <x:v>118</x:v>
      </x:c>
      <x:c r="I385" t="n">
        <x:f>MAX($B$5-D385,0)</x:f>
        <x:v>0</x:v>
      </x:c>
    </x:row>
    <x:row r="386">
      <x:c r="A386" t="n">
        <x:f>374</x:f>
        <x:v>374</x:v>
      </x:c>
      <x:c r="B386" t="n">
        <x:f>RAND()</x:f>
        <x:v>0.7790591029431316</x:v>
      </x:c>
      <x:c r="C386" t="n">
        <x:f>MIN(47,INT(B386*47)+1)</x:f>
        <x:v>37</x:v>
      </x:c>
      <x:c r="D386" t="n">
        <x:f>INDEX(Datos_47_semanas!$B$4:$B$50,C386)</x:f>
        <x:v>299</x:v>
      </x:c>
      <x:c r="E386" t="n">
        <x:f>MIN($B$4,D386)*$B$7+MAX($B$4-D386,0)*$B$9-$B$4*$B$8</x:f>
        <x:v>200</x:v>
      </x:c>
      <x:c r="F386" t="n">
        <x:f>MIN($B$5,D386)*$B$7+MAX($B$5-D386,0)*$B$9-$B$5*$B$8</x:f>
        <x:v>238.64999999999998</x:v>
      </x:c>
      <x:c r="G386" t="n">
        <x:f>MIN($B$6,D386)*$B$7+MAX($B$6-D386,0)*$B$9-$B$6*$B$8</x:f>
        <x:v>183.64999999999998</x:v>
      </x:c>
      <x:c r="H386" t="n">
        <x:f>MAX(D386-$B$5,0)</x:f>
        <x:v>0</x:v>
      </x:c>
      <x:c r="I386" t="n">
        <x:f>MAX($B$5-D386,0)</x:f>
        <x:v>1</x:v>
      </x:c>
    </x:row>
    <x:row r="387">
      <x:c r="A387" t="n">
        <x:f>375</x:f>
        <x:v>375</x:v>
      </x:c>
      <x:c r="B387" t="n">
        <x:f>RAND()</x:f>
        <x:v>0.17479025979936458</x:v>
      </x:c>
      <x:c r="C387" t="n">
        <x:f>MIN(47,INT(B387*47)+1)</x:f>
        <x:v>9</x:v>
      </x:c>
      <x:c r="D387" t="n">
        <x:f>INDEX(Datos_47_semanas!$B$4:$B$50,C387)</x:f>
        <x:v>155</x:v>
      </x:c>
      <x:c r="E387" t="n">
        <x:f>MIN($B$4,D387)*$B$7+MAX($B$4-D387,0)*$B$9-$B$4*$B$8</x:f>
        <x:v>71.75</x:v>
      </x:c>
      <x:c r="F387" t="n">
        <x:f>MIN($B$5,D387)*$B$7+MAX($B$5-D387,0)*$B$9-$B$5*$B$8</x:f>
        <x:v>44.25</x:v>
      </x:c>
      <x:c r="G387" t="n">
        <x:f>MIN($B$6,D387)*$B$7+MAX($B$6-D387,0)*$B$9-$B$6*$B$8</x:f>
        <x:v>-10.75</x:v>
      </x:c>
      <x:c r="H387" t="n">
        <x:f>MAX(D387-$B$5,0)</x:f>
        <x:v>0</x:v>
      </x:c>
      <x:c r="I387" t="n">
        <x:f>MAX($B$5-D387,0)</x:f>
        <x:v>145</x:v>
      </x:c>
    </x:row>
    <x:row r="388">
      <x:c r="A388" t="n">
        <x:f>376</x:f>
        <x:v>376</x:v>
      </x:c>
      <x:c r="B388" t="n">
        <x:f>RAND()</x:f>
        <x:v>0.8512943340296877</x:v>
      </x:c>
      <x:c r="C388" t="n">
        <x:f>MIN(47,INT(B388*47)+1)</x:f>
        <x:v>41</x:v>
      </x:c>
      <x:c r="D388" t="n">
        <x:f>INDEX(Datos_47_semanas!$B$4:$B$50,C388)</x:f>
        <x:v>383</x:v>
      </x:c>
      <x:c r="E388" t="n">
        <x:f>MIN($B$4,D388)*$B$7+MAX($B$4-D388,0)*$B$9-$B$4*$B$8</x:f>
        <x:v>200</x:v>
      </x:c>
      <x:c r="F388" t="n">
        <x:f>MIN($B$5,D388)*$B$7+MAX($B$5-D388,0)*$B$9-$B$5*$B$8</x:f>
        <x:v>240</x:v>
      </x:c>
      <x:c r="G388" t="n">
        <x:f>MIN($B$6,D388)*$B$7+MAX($B$6-D388,0)*$B$9-$B$6*$B$8</x:f>
        <x:v>297.04999999999995</x:v>
      </x:c>
      <x:c r="H388" t="n">
        <x:f>MAX(D388-$B$5,0)</x:f>
        <x:v>83</x:v>
      </x:c>
      <x:c r="I388" t="n">
        <x:f>MAX($B$5-D388,0)</x:f>
        <x:v>0</x:v>
      </x:c>
    </x:row>
    <x:row r="389">
      <x:c r="A389" t="n">
        <x:f>377</x:f>
        <x:v>377</x:v>
      </x:c>
      <x:c r="B389" t="n">
        <x:f>RAND()</x:f>
        <x:v>0.6658005690158666</x:v>
      </x:c>
      <x:c r="C389" t="n">
        <x:f>MIN(47,INT(B389*47)+1)</x:f>
        <x:v>32</x:v>
      </x:c>
      <x:c r="D389" t="n">
        <x:f>INDEX(Datos_47_semanas!$B$4:$B$50,C389)</x:f>
        <x:v>575</x:v>
      </x:c>
      <x:c r="E389" t="n">
        <x:f>MIN($B$4,D389)*$B$7+MAX($B$4-D389,0)*$B$9-$B$4*$B$8</x:f>
        <x:v>200</x:v>
      </x:c>
      <x:c r="F389" t="n">
        <x:f>MIN($B$5,D389)*$B$7+MAX($B$5-D389,0)*$B$9-$B$5*$B$8</x:f>
        <x:v>240</x:v>
      </x:c>
      <x:c r="G389" t="n">
        <x:f>MIN($B$6,D389)*$B$7+MAX($B$6-D389,0)*$B$9-$B$6*$B$8</x:f>
        <x:v>320</x:v>
      </x:c>
      <x:c r="H389" t="n">
        <x:f>MAX(D389-$B$5,0)</x:f>
        <x:v>275</x:v>
      </x:c>
      <x:c r="I389" t="n">
        <x:f>MAX($B$5-D389,0)</x:f>
        <x:v>0</x:v>
      </x:c>
    </x:row>
    <x:row r="390">
      <x:c r="A390" t="n">
        <x:f>378</x:f>
        <x:v>378</x:v>
      </x:c>
      <x:c r="B390" t="n">
        <x:f>RAND()</x:f>
        <x:v>0.3044209152384879</x:v>
      </x:c>
      <x:c r="C390" t="n">
        <x:f>MIN(47,INT(B390*47)+1)</x:f>
        <x:v>15</x:v>
      </x:c>
      <x:c r="D390" t="n">
        <x:f>INDEX(Datos_47_semanas!$B$4:$B$50,C390)</x:f>
        <x:v>275</x:v>
      </x:c>
      <x:c r="E390" t="n">
        <x:f>MIN($B$4,D390)*$B$7+MAX($B$4-D390,0)*$B$9-$B$4*$B$8</x:f>
        <x:v>200</x:v>
      </x:c>
      <x:c r="F390" t="n">
        <x:f>MIN($B$5,D390)*$B$7+MAX($B$5-D390,0)*$B$9-$B$5*$B$8</x:f>
        <x:v>206.25</x:v>
      </x:c>
      <x:c r="G390" t="n">
        <x:f>MIN($B$6,D390)*$B$7+MAX($B$6-D390,0)*$B$9-$B$6*$B$8</x:f>
        <x:v>151.25</x:v>
      </x:c>
      <x:c r="H390" t="n">
        <x:f>MAX(D390-$B$5,0)</x:f>
        <x:v>0</x:v>
      </x:c>
      <x:c r="I390" t="n">
        <x:f>MAX($B$5-D390,0)</x:f>
        <x:v>25</x:v>
      </x:c>
    </x:row>
    <x:row r="391">
      <x:c r="A391" t="n">
        <x:f>379</x:f>
        <x:v>379</x:v>
      </x:c>
      <x:c r="B391" t="n">
        <x:f>RAND()</x:f>
        <x:v>0.28290394117459317</x:v>
      </x:c>
      <x:c r="C391" t="n">
        <x:f>MIN(47,INT(B391*47)+1)</x:f>
        <x:v>14</x:v>
      </x:c>
      <x:c r="D391" t="n">
        <x:f>INDEX(Datos_47_semanas!$B$4:$B$50,C391)</x:f>
        <x:v>187</x:v>
      </x:c>
      <x:c r="E391" t="n">
        <x:f>MIN($B$4,D391)*$B$7+MAX($B$4-D391,0)*$B$9-$B$4*$B$8</x:f>
        <x:v>114.94999999999999</x:v>
      </x:c>
      <x:c r="F391" t="n">
        <x:f>MIN($B$5,D391)*$B$7+MAX($B$5-D391,0)*$B$9-$B$5*$B$8</x:f>
        <x:v>87.44999999999999</x:v>
      </x:c>
      <x:c r="G391" t="n">
        <x:f>MIN($B$6,D391)*$B$7+MAX($B$6-D391,0)*$B$9-$B$6*$B$8</x:f>
        <x:v>32.44999999999999</x:v>
      </x:c>
      <x:c r="H391" t="n">
        <x:f>MAX(D391-$B$5,0)</x:f>
        <x:v>0</x:v>
      </x:c>
      <x:c r="I391" t="n">
        <x:f>MAX($B$5-D391,0)</x:f>
        <x:v>113</x:v>
      </x:c>
    </x:row>
    <x:row r="392">
      <x:c r="A392" t="n">
        <x:f>380</x:f>
        <x:v>380</x:v>
      </x:c>
      <x:c r="B392" t="n">
        <x:f>RAND()</x:f>
        <x:v>0.39723582141060876</x:v>
      </x:c>
      <x:c r="C392" t="n">
        <x:f>MIN(47,INT(B392*47)+1)</x:f>
        <x:v>19</x:v>
      </x:c>
      <x:c r="D392" t="n">
        <x:f>INDEX(Datos_47_semanas!$B$4:$B$50,C392)</x:f>
        <x:v>470</x:v>
      </x:c>
      <x:c r="E392" t="n">
        <x:f>MIN($B$4,D392)*$B$7+MAX($B$4-D392,0)*$B$9-$B$4*$B$8</x:f>
        <x:v>200</x:v>
      </x:c>
      <x:c r="F392" t="n">
        <x:f>MIN($B$5,D392)*$B$7+MAX($B$5-D392,0)*$B$9-$B$5*$B$8</x:f>
        <x:v>240</x:v>
      </x:c>
      <x:c r="G392" t="n">
        <x:f>MIN($B$6,D392)*$B$7+MAX($B$6-D392,0)*$B$9-$B$6*$B$8</x:f>
        <x:v>320</x:v>
      </x:c>
      <x:c r="H392" t="n">
        <x:f>MAX(D392-$B$5,0)</x:f>
        <x:v>170</x:v>
      </x:c>
      <x:c r="I392" t="n">
        <x:f>MAX($B$5-D392,0)</x:f>
        <x:v>0</x:v>
      </x:c>
    </x:row>
    <x:row r="393">
      <x:c r="A393" t="n">
        <x:f>381</x:f>
        <x:v>381</x:v>
      </x:c>
      <x:c r="B393" t="n">
        <x:f>RAND()</x:f>
        <x:v>0.2838215508977816</x:v>
      </x:c>
      <x:c r="C393" t="n">
        <x:f>MIN(47,INT(B393*47)+1)</x:f>
        <x:v>14</x:v>
      </x:c>
      <x:c r="D393" t="n">
        <x:f>INDEX(Datos_47_semanas!$B$4:$B$50,C393)</x:f>
        <x:v>187</x:v>
      </x:c>
      <x:c r="E393" t="n">
        <x:f>MIN($B$4,D393)*$B$7+MAX($B$4-D393,0)*$B$9-$B$4*$B$8</x:f>
        <x:v>114.94999999999999</x:v>
      </x:c>
      <x:c r="F393" t="n">
        <x:f>MIN($B$5,D393)*$B$7+MAX($B$5-D393,0)*$B$9-$B$5*$B$8</x:f>
        <x:v>87.44999999999999</x:v>
      </x:c>
      <x:c r="G393" t="n">
        <x:f>MIN($B$6,D393)*$B$7+MAX($B$6-D393,0)*$B$9-$B$6*$B$8</x:f>
        <x:v>32.44999999999999</x:v>
      </x:c>
      <x:c r="H393" t="n">
        <x:f>MAX(D393-$B$5,0)</x:f>
        <x:v>0</x:v>
      </x:c>
      <x:c r="I393" t="n">
        <x:f>MAX($B$5-D393,0)</x:f>
        <x:v>113</x:v>
      </x:c>
    </x:row>
    <x:row r="394">
      <x:c r="A394" t="n">
        <x:f>382</x:f>
        <x:v>382</x:v>
      </x:c>
      <x:c r="B394" t="n">
        <x:f>RAND()</x:f>
        <x:v>0.39374281130447963</x:v>
      </x:c>
      <x:c r="C394" t="n">
        <x:f>MIN(47,INT(B394*47)+1)</x:f>
        <x:v>19</x:v>
      </x:c>
      <x:c r="D394" t="n">
        <x:f>INDEX(Datos_47_semanas!$B$4:$B$50,C394)</x:f>
        <x:v>470</x:v>
      </x:c>
      <x:c r="E394" t="n">
        <x:f>MIN($B$4,D394)*$B$7+MAX($B$4-D394,0)*$B$9-$B$4*$B$8</x:f>
        <x:v>200</x:v>
      </x:c>
      <x:c r="F394" t="n">
        <x:f>MIN($B$5,D394)*$B$7+MAX($B$5-D394,0)*$B$9-$B$5*$B$8</x:f>
        <x:v>240</x:v>
      </x:c>
      <x:c r="G394" t="n">
        <x:f>MIN($B$6,D394)*$B$7+MAX($B$6-D394,0)*$B$9-$B$6*$B$8</x:f>
        <x:v>320</x:v>
      </x:c>
      <x:c r="H394" t="n">
        <x:f>MAX(D394-$B$5,0)</x:f>
        <x:v>170</x:v>
      </x:c>
      <x:c r="I394" t="n">
        <x:f>MAX($B$5-D394,0)</x:f>
        <x:v>0</x:v>
      </x:c>
    </x:row>
    <x:row r="395">
      <x:c r="A395" t="n">
        <x:f>383</x:f>
        <x:v>383</x:v>
      </x:c>
      <x:c r="B395" t="n">
        <x:f>RAND()</x:f>
        <x:v>0.8431568522325635</x:v>
      </x:c>
      <x:c r="C395" t="n">
        <x:f>MIN(47,INT(B395*47)+1)</x:f>
        <x:v>40</x:v>
      </x:c>
      <x:c r="D395" t="n">
        <x:f>INDEX(Datos_47_semanas!$B$4:$B$50,C395)</x:f>
        <x:v>278</x:v>
      </x:c>
      <x:c r="E395" t="n">
        <x:f>MIN($B$4,D395)*$B$7+MAX($B$4-D395,0)*$B$9-$B$4*$B$8</x:f>
        <x:v>200</x:v>
      </x:c>
      <x:c r="F395" t="n">
        <x:f>MIN($B$5,D395)*$B$7+MAX($B$5-D395,0)*$B$9-$B$5*$B$8</x:f>
        <x:v>210.3</x:v>
      </x:c>
      <x:c r="G395" t="n">
        <x:f>MIN($B$6,D395)*$B$7+MAX($B$6-D395,0)*$B$9-$B$6*$B$8</x:f>
        <x:v>155.3</x:v>
      </x:c>
      <x:c r="H395" t="n">
        <x:f>MAX(D395-$B$5,0)</x:f>
        <x:v>0</x:v>
      </x:c>
      <x:c r="I395" t="n">
        <x:f>MAX($B$5-D395,0)</x:f>
        <x:v>22</x:v>
      </x:c>
    </x:row>
    <x:row r="396">
      <x:c r="A396" t="n">
        <x:f>384</x:f>
        <x:v>384</x:v>
      </x:c>
      <x:c r="B396" t="n">
        <x:f>RAND()</x:f>
        <x:v>0.7840919637763637</x:v>
      </x:c>
      <x:c r="C396" t="n">
        <x:f>MIN(47,INT(B396*47)+1)</x:f>
        <x:v>37</x:v>
      </x:c>
      <x:c r="D396" t="n">
        <x:f>INDEX(Datos_47_semanas!$B$4:$B$50,C396)</x:f>
        <x:v>299</x:v>
      </x:c>
      <x:c r="E396" t="n">
        <x:f>MIN($B$4,D396)*$B$7+MAX($B$4-D396,0)*$B$9-$B$4*$B$8</x:f>
        <x:v>200</x:v>
      </x:c>
      <x:c r="F396" t="n">
        <x:f>MIN($B$5,D396)*$B$7+MAX($B$5-D396,0)*$B$9-$B$5*$B$8</x:f>
        <x:v>238.64999999999998</x:v>
      </x:c>
      <x:c r="G396" t="n">
        <x:f>MIN($B$6,D396)*$B$7+MAX($B$6-D396,0)*$B$9-$B$6*$B$8</x:f>
        <x:v>183.64999999999998</x:v>
      </x:c>
      <x:c r="H396" t="n">
        <x:f>MAX(D396-$B$5,0)</x:f>
        <x:v>0</x:v>
      </x:c>
      <x:c r="I396" t="n">
        <x:f>MAX($B$5-D396,0)</x:f>
        <x:v>1</x:v>
      </x:c>
    </x:row>
    <x:row r="397">
      <x:c r="A397" t="n">
        <x:f>385</x:f>
        <x:v>385</x:v>
      </x:c>
      <x:c r="B397" t="n">
        <x:f>RAND()</x:f>
        <x:v>0.48076519953095753</x:v>
      </x:c>
      <x:c r="C397" t="n">
        <x:f>MIN(47,INT(B397*47)+1)</x:f>
        <x:v>23</x:v>
      </x:c>
      <x:c r="D397" t="n">
        <x:f>INDEX(Datos_47_semanas!$B$4:$B$50,C397)</x:f>
        <x:v>565</x:v>
      </x:c>
      <x:c r="E397" t="n">
        <x:f>MIN($B$4,D397)*$B$7+MAX($B$4-D397,0)*$B$9-$B$4*$B$8</x:f>
        <x:v>200</x:v>
      </x:c>
      <x:c r="F397" t="n">
        <x:f>MIN($B$5,D397)*$B$7+MAX($B$5-D397,0)*$B$9-$B$5*$B$8</x:f>
        <x:v>240</x:v>
      </x:c>
      <x:c r="G397" t="n">
        <x:f>MIN($B$6,D397)*$B$7+MAX($B$6-D397,0)*$B$9-$B$6*$B$8</x:f>
        <x:v>320</x:v>
      </x:c>
      <x:c r="H397" t="n">
        <x:f>MAX(D397-$B$5,0)</x:f>
        <x:v>265</x:v>
      </x:c>
      <x:c r="I397" t="n">
        <x:f>MAX($B$5-D397,0)</x:f>
        <x:v>0</x:v>
      </x:c>
    </x:row>
    <x:row r="398">
      <x:c r="A398" t="n">
        <x:f>386</x:f>
        <x:v>386</x:v>
      </x:c>
      <x:c r="B398" t="n">
        <x:f>RAND()</x:f>
        <x:v>0.8982676392227288</x:v>
      </x:c>
      <x:c r="C398" t="n">
        <x:f>MIN(47,INT(B398*47)+1)</x:f>
        <x:v>43</x:v>
      </x:c>
      <x:c r="D398" t="n">
        <x:f>INDEX(Datos_47_semanas!$B$4:$B$50,C398)</x:f>
        <x:v>234</x:v>
      </x:c>
      <x:c r="E398" t="n">
        <x:f>MIN($B$4,D398)*$B$7+MAX($B$4-D398,0)*$B$9-$B$4*$B$8</x:f>
        <x:v>178.39999999999998</x:v>
      </x:c>
      <x:c r="F398" t="n">
        <x:f>MIN($B$5,D398)*$B$7+MAX($B$5-D398,0)*$B$9-$B$5*$B$8</x:f>
        <x:v>150.89999999999998</x:v>
      </x:c>
      <x:c r="G398" t="n">
        <x:f>MIN($B$6,D398)*$B$7+MAX($B$6-D398,0)*$B$9-$B$6*$B$8</x:f>
        <x:v>95.89999999999998</x:v>
      </x:c>
      <x:c r="H398" t="n">
        <x:f>MAX(D398-$B$5,0)</x:f>
        <x:v>0</x:v>
      </x:c>
      <x:c r="I398" t="n">
        <x:f>MAX($B$5-D398,0)</x:f>
        <x:v>66</x:v>
      </x:c>
    </x:row>
    <x:row r="399">
      <x:c r="A399" t="n">
        <x:f>387</x:f>
        <x:v>387</x:v>
      </x:c>
      <x:c r="B399" t="n">
        <x:f>RAND()</x:f>
        <x:v>0.27331361900594264</x:v>
      </x:c>
      <x:c r="C399" t="n">
        <x:f>MIN(47,INT(B399*47)+1)</x:f>
        <x:v>13</x:v>
      </x:c>
      <x:c r="D399" t="n">
        <x:f>INDEX(Datos_47_semanas!$B$4:$B$50,C399)</x:f>
        <x:v>517</x:v>
      </x:c>
      <x:c r="E399" t="n">
        <x:f>MIN($B$4,D399)*$B$7+MAX($B$4-D399,0)*$B$9-$B$4*$B$8</x:f>
        <x:v>200</x:v>
      </x:c>
      <x:c r="F399" t="n">
        <x:f>MIN($B$5,D399)*$B$7+MAX($B$5-D399,0)*$B$9-$B$5*$B$8</x:f>
        <x:v>240</x:v>
      </x:c>
      <x:c r="G399" t="n">
        <x:f>MIN($B$6,D399)*$B$7+MAX($B$6-D399,0)*$B$9-$B$6*$B$8</x:f>
        <x:v>320</x:v>
      </x:c>
      <x:c r="H399" t="n">
        <x:f>MAX(D399-$B$5,0)</x:f>
        <x:v>217</x:v>
      </x:c>
      <x:c r="I399" t="n">
        <x:f>MAX($B$5-D399,0)</x:f>
        <x:v>0</x:v>
      </x:c>
    </x:row>
    <x:row r="400">
      <x:c r="A400" t="n">
        <x:f>388</x:f>
        <x:v>388</x:v>
      </x:c>
      <x:c r="B400" t="n">
        <x:f>RAND()</x:f>
        <x:v>0.022449166202697324</x:v>
      </x:c>
      <x:c r="C400" t="n">
        <x:f>MIN(47,INT(B400*47)+1)</x:f>
        <x:v>2</x:v>
      </x:c>
      <x:c r="D400" t="n">
        <x:f>INDEX(Datos_47_semanas!$B$4:$B$50,C400)</x:f>
        <x:v>282</x:v>
      </x:c>
      <x:c r="E400" t="n">
        <x:f>MIN($B$4,D400)*$B$7+MAX($B$4-D400,0)*$B$9-$B$4*$B$8</x:f>
        <x:v>200</x:v>
      </x:c>
      <x:c r="F400" t="n">
        <x:f>MIN($B$5,D400)*$B$7+MAX($B$5-D400,0)*$B$9-$B$5*$B$8</x:f>
        <x:v>215.69999999999993</x:v>
      </x:c>
      <x:c r="G400" t="n">
        <x:f>MIN($B$6,D400)*$B$7+MAX($B$6-D400,0)*$B$9-$B$6*$B$8</x:f>
        <x:v>160.69999999999993</x:v>
      </x:c>
      <x:c r="H400" t="n">
        <x:f>MAX(D400-$B$5,0)</x:f>
        <x:v>0</x:v>
      </x:c>
      <x:c r="I400" t="n">
        <x:f>MAX($B$5-D400,0)</x:f>
        <x:v>18</x:v>
      </x:c>
    </x:row>
    <x:row r="401">
      <x:c r="A401" t="n">
        <x:f>389</x:f>
        <x:v>389</x:v>
      </x:c>
      <x:c r="B401" t="n">
        <x:f>RAND()</x:f>
        <x:v>0.5378919664044325</x:v>
      </x:c>
      <x:c r="C401" t="n">
        <x:f>MIN(47,INT(B401*47)+1)</x:f>
        <x:v>26</x:v>
      </x:c>
      <x:c r="D401" t="n">
        <x:f>INDEX(Datos_47_semanas!$B$4:$B$50,C401)</x:f>
        <x:v>183</x:v>
      </x:c>
      <x:c r="E401" t="n">
        <x:f>MIN($B$4,D401)*$B$7+MAX($B$4-D401,0)*$B$9-$B$4*$B$8</x:f>
        <x:v>109.55000000000001</x:v>
      </x:c>
      <x:c r="F401" t="n">
        <x:f>MIN($B$5,D401)*$B$7+MAX($B$5-D401,0)*$B$9-$B$5*$B$8</x:f>
        <x:v>82.05000000000001</x:v>
      </x:c>
      <x:c r="G401" t="n">
        <x:f>MIN($B$6,D401)*$B$7+MAX($B$6-D401,0)*$B$9-$B$6*$B$8</x:f>
        <x:v>27.049999999999955</x:v>
      </x:c>
      <x:c r="H401" t="n">
        <x:f>MAX(D401-$B$5,0)</x:f>
        <x:v>0</x:v>
      </x:c>
      <x:c r="I401" t="n">
        <x:f>MAX($B$5-D401,0)</x:f>
        <x:v>117</x:v>
      </x:c>
    </x:row>
    <x:row r="402">
      <x:c r="A402" t="n">
        <x:f>390</x:f>
        <x:v>390</x:v>
      </x:c>
      <x:c r="B402" t="n">
        <x:f>RAND()</x:f>
        <x:v>0.23819174921903685</x:v>
      </x:c>
      <x:c r="C402" t="n">
        <x:f>MIN(47,INT(B402*47)+1)</x:f>
        <x:v>12</x:v>
      </x:c>
      <x:c r="D402" t="n">
        <x:f>INDEX(Datos_47_semanas!$B$4:$B$50,C402)</x:f>
        <x:v>336</x:v>
      </x:c>
      <x:c r="E402" t="n">
        <x:f>MIN($B$4,D402)*$B$7+MAX($B$4-D402,0)*$B$9-$B$4*$B$8</x:f>
        <x:v>200</x:v>
      </x:c>
      <x:c r="F402" t="n">
        <x:f>MIN($B$5,D402)*$B$7+MAX($B$5-D402,0)*$B$9-$B$5*$B$8</x:f>
        <x:v>240</x:v>
      </x:c>
      <x:c r="G402" t="n">
        <x:f>MIN($B$6,D402)*$B$7+MAX($B$6-D402,0)*$B$9-$B$6*$B$8</x:f>
        <x:v>233.60000000000002</x:v>
      </x:c>
      <x:c r="H402" t="n">
        <x:f>MAX(D402-$B$5,0)</x:f>
        <x:v>36</x:v>
      </x:c>
      <x:c r="I402" t="n">
        <x:f>MAX($B$5-D402,0)</x:f>
        <x:v>0</x:v>
      </x:c>
    </x:row>
    <x:row r="403">
      <x:c r="A403" t="n">
        <x:f>391</x:f>
        <x:v>391</x:v>
      </x:c>
      <x:c r="B403" t="n">
        <x:f>RAND()</x:f>
        <x:v>0.33519925617501556</x:v>
      </x:c>
      <x:c r="C403" t="n">
        <x:f>MIN(47,INT(B403*47)+1)</x:f>
        <x:v>16</x:v>
      </x:c>
      <x:c r="D403" t="n">
        <x:f>INDEX(Datos_47_semanas!$B$4:$B$50,C403)</x:f>
        <x:v>318</x:v>
      </x:c>
      <x:c r="E403" t="n">
        <x:f>MIN($B$4,D403)*$B$7+MAX($B$4-D403,0)*$B$9-$B$4*$B$8</x:f>
        <x:v>200</x:v>
      </x:c>
      <x:c r="F403" t="n">
        <x:f>MIN($B$5,D403)*$B$7+MAX($B$5-D403,0)*$B$9-$B$5*$B$8</x:f>
        <x:v>240</x:v>
      </x:c>
      <x:c r="G403" t="n">
        <x:f>MIN($B$6,D403)*$B$7+MAX($B$6-D403,0)*$B$9-$B$6*$B$8</x:f>
        <x:v>209.29999999999995</x:v>
      </x:c>
      <x:c r="H403" t="n">
        <x:f>MAX(D403-$B$5,0)</x:f>
        <x:v>18</x:v>
      </x:c>
      <x:c r="I403" t="n">
        <x:f>MAX($B$5-D403,0)</x:f>
        <x:v>0</x:v>
      </x:c>
    </x:row>
    <x:row r="404">
      <x:c r="A404" t="n">
        <x:f>392</x:f>
        <x:v>392</x:v>
      </x:c>
      <x:c r="B404" t="n">
        <x:f>RAND()</x:f>
        <x:v>0.3908973679890734</x:v>
      </x:c>
      <x:c r="C404" t="n">
        <x:f>MIN(47,INT(B404*47)+1)</x:f>
        <x:v>19</x:v>
      </x:c>
      <x:c r="D404" t="n">
        <x:f>INDEX(Datos_47_semanas!$B$4:$B$50,C404)</x:f>
        <x:v>470</x:v>
      </x:c>
      <x:c r="E404" t="n">
        <x:f>MIN($B$4,D404)*$B$7+MAX($B$4-D404,0)*$B$9-$B$4*$B$8</x:f>
        <x:v>200</x:v>
      </x:c>
      <x:c r="F404" t="n">
        <x:f>MIN($B$5,D404)*$B$7+MAX($B$5-D404,0)*$B$9-$B$5*$B$8</x:f>
        <x:v>240</x:v>
      </x:c>
      <x:c r="G404" t="n">
        <x:f>MIN($B$6,D404)*$B$7+MAX($B$6-D404,0)*$B$9-$B$6*$B$8</x:f>
        <x:v>320</x:v>
      </x:c>
      <x:c r="H404" t="n">
        <x:f>MAX(D404-$B$5,0)</x:f>
        <x:v>170</x:v>
      </x:c>
      <x:c r="I404" t="n">
        <x:f>MAX($B$5-D404,0)</x:f>
        <x:v>0</x:v>
      </x:c>
    </x:row>
    <x:row r="405">
      <x:c r="A405" t="n">
        <x:f>393</x:f>
        <x:v>393</x:v>
      </x:c>
      <x:c r="B405" t="n">
        <x:f>RAND()</x:f>
        <x:v>0.55821639024826</x:v>
      </x:c>
      <x:c r="C405" t="n">
        <x:f>MIN(47,INT(B405*47)+1)</x:f>
        <x:v>27</x:v>
      </x:c>
      <x:c r="D405" t="n">
        <x:f>INDEX(Datos_47_semanas!$B$4:$B$50,C405)</x:f>
        <x:v>293</x:v>
      </x:c>
      <x:c r="E405" t="n">
        <x:f>MIN($B$4,D405)*$B$7+MAX($B$4-D405,0)*$B$9-$B$4*$B$8</x:f>
        <x:v>200</x:v>
      </x:c>
      <x:c r="F405" t="n">
        <x:f>MIN($B$5,D405)*$B$7+MAX($B$5-D405,0)*$B$9-$B$5*$B$8</x:f>
        <x:v>230.55</x:v>
      </x:c>
      <x:c r="G405" t="n">
        <x:f>MIN($B$6,D405)*$B$7+MAX($B$6-D405,0)*$B$9-$B$6*$B$8</x:f>
        <x:v>175.54999999999995</x:v>
      </x:c>
      <x:c r="H405" t="n">
        <x:f>MAX(D405-$B$5,0)</x:f>
        <x:v>0</x:v>
      </x:c>
      <x:c r="I405" t="n">
        <x:f>MAX($B$5-D405,0)</x:f>
        <x:v>7</x:v>
      </x:c>
    </x:row>
    <x:row r="406">
      <x:c r="A406" t="n">
        <x:f>394</x:f>
        <x:v>394</x:v>
      </x:c>
      <x:c r="B406" t="n">
        <x:f>RAND()</x:f>
        <x:v>0.03164187321999801</x:v>
      </x:c>
      <x:c r="C406" t="n">
        <x:f>MIN(47,INT(B406*47)+1)</x:f>
        <x:v>2</x:v>
      </x:c>
      <x:c r="D406" t="n">
        <x:f>INDEX(Datos_47_semanas!$B$4:$B$50,C406)</x:f>
        <x:v>282</x:v>
      </x:c>
      <x:c r="E406" t="n">
        <x:f>MIN($B$4,D406)*$B$7+MAX($B$4-D406,0)*$B$9-$B$4*$B$8</x:f>
        <x:v>200</x:v>
      </x:c>
      <x:c r="F406" t="n">
        <x:f>MIN($B$5,D406)*$B$7+MAX($B$5-D406,0)*$B$9-$B$5*$B$8</x:f>
        <x:v>215.69999999999993</x:v>
      </x:c>
      <x:c r="G406" t="n">
        <x:f>MIN($B$6,D406)*$B$7+MAX($B$6-D406,0)*$B$9-$B$6*$B$8</x:f>
        <x:v>160.69999999999993</x:v>
      </x:c>
      <x:c r="H406" t="n">
        <x:f>MAX(D406-$B$5,0)</x:f>
        <x:v>0</x:v>
      </x:c>
      <x:c r="I406" t="n">
        <x:f>MAX($B$5-D406,0)</x:f>
        <x:v>18</x:v>
      </x:c>
    </x:row>
    <x:row r="407">
      <x:c r="A407" t="n">
        <x:f>395</x:f>
        <x:v>395</x:v>
      </x:c>
      <x:c r="B407" t="n">
        <x:f>RAND()</x:f>
        <x:v>0.008205384450885367</x:v>
      </x:c>
      <x:c r="C407" t="n">
        <x:f>MIN(47,INT(B407*47)+1)</x:f>
        <x:v>1</x:v>
      </x:c>
      <x:c r="D407" t="n">
        <x:f>INDEX(Datos_47_semanas!$B$4:$B$50,C407)</x:f>
        <x:v>418</x:v>
      </x:c>
      <x:c r="E407" t="n">
        <x:f>MIN($B$4,D407)*$B$7+MAX($B$4-D407,0)*$B$9-$B$4*$B$8</x:f>
        <x:v>200</x:v>
      </x:c>
      <x:c r="F407" t="n">
        <x:f>MIN($B$5,D407)*$B$7+MAX($B$5-D407,0)*$B$9-$B$5*$B$8</x:f>
        <x:v>240</x:v>
      </x:c>
      <x:c r="G407" t="n">
        <x:f>MIN($B$6,D407)*$B$7+MAX($B$6-D407,0)*$B$9-$B$6*$B$8</x:f>
        <x:v>320</x:v>
      </x:c>
      <x:c r="H407" t="n">
        <x:f>MAX(D407-$B$5,0)</x:f>
        <x:v>118</x:v>
      </x:c>
      <x:c r="I407" t="n">
        <x:f>MAX($B$5-D407,0)</x:f>
        <x:v>0</x:v>
      </x:c>
    </x:row>
    <x:row r="408">
      <x:c r="A408" t="n">
        <x:f>396</x:f>
        <x:v>396</x:v>
      </x:c>
      <x:c r="B408" t="n">
        <x:f>RAND()</x:f>
        <x:v>0.24415478892747078</x:v>
      </x:c>
      <x:c r="C408" t="n">
        <x:f>MIN(47,INT(B408*47)+1)</x:f>
        <x:v>12</x:v>
      </x:c>
      <x:c r="D408" t="n">
        <x:f>INDEX(Datos_47_semanas!$B$4:$B$50,C408)</x:f>
        <x:v>336</x:v>
      </x:c>
      <x:c r="E408" t="n">
        <x:f>MIN($B$4,D408)*$B$7+MAX($B$4-D408,0)*$B$9-$B$4*$B$8</x:f>
        <x:v>200</x:v>
      </x:c>
      <x:c r="F408" t="n">
        <x:f>MIN($B$5,D408)*$B$7+MAX($B$5-D408,0)*$B$9-$B$5*$B$8</x:f>
        <x:v>240</x:v>
      </x:c>
      <x:c r="G408" t="n">
        <x:f>MIN($B$6,D408)*$B$7+MAX($B$6-D408,0)*$B$9-$B$6*$B$8</x:f>
        <x:v>233.60000000000002</x:v>
      </x:c>
      <x:c r="H408" t="n">
        <x:f>MAX(D408-$B$5,0)</x:f>
        <x:v>36</x:v>
      </x:c>
      <x:c r="I408" t="n">
        <x:f>MAX($B$5-D408,0)</x:f>
        <x:v>0</x:v>
      </x:c>
    </x:row>
    <x:row r="409">
      <x:c r="A409" t="n">
        <x:f>397</x:f>
        <x:v>397</x:v>
      </x:c>
      <x:c r="B409" t="n">
        <x:f>RAND()</x:f>
        <x:v>0.9902080263905961</x:v>
      </x:c>
      <x:c r="C409" t="n">
        <x:f>MIN(47,INT(B409*47)+1)</x:f>
        <x:v>47</x:v>
      </x:c>
      <x:c r="D409" t="n">
        <x:f>INDEX(Datos_47_semanas!$B$4:$B$50,C409)</x:f>
        <x:v>256</x:v>
      </x:c>
      <x:c r="E409" t="n">
        <x:f>MIN($B$4,D409)*$B$7+MAX($B$4-D409,0)*$B$9-$B$4*$B$8</x:f>
        <x:v>200</x:v>
      </x:c>
      <x:c r="F409" t="n">
        <x:f>MIN($B$5,D409)*$B$7+MAX($B$5-D409,0)*$B$9-$B$5*$B$8</x:f>
        <x:v>180.59999999999997</x:v>
      </x:c>
      <x:c r="G409" t="n">
        <x:f>MIN($B$6,D409)*$B$7+MAX($B$6-D409,0)*$B$9-$B$6*$B$8</x:f>
        <x:v>125.59999999999997</x:v>
      </x:c>
      <x:c r="H409" t="n">
        <x:f>MAX(D409-$B$5,0)</x:f>
        <x:v>0</x:v>
      </x:c>
      <x:c r="I409" t="n">
        <x:f>MAX($B$5-D409,0)</x:f>
        <x:v>44</x:v>
      </x:c>
    </x:row>
    <x:row r="410">
      <x:c r="A410" t="n">
        <x:f>398</x:f>
        <x:v>398</x:v>
      </x:c>
      <x:c r="B410" t="n">
        <x:f>RAND()</x:f>
        <x:v>0.551958533359427</x:v>
      </x:c>
      <x:c r="C410" t="n">
        <x:f>MIN(47,INT(B410*47)+1)</x:f>
        <x:v>26</x:v>
      </x:c>
      <x:c r="D410" t="n">
        <x:f>INDEX(Datos_47_semanas!$B$4:$B$50,C410)</x:f>
        <x:v>183</x:v>
      </x:c>
      <x:c r="E410" t="n">
        <x:f>MIN($B$4,D410)*$B$7+MAX($B$4-D410,0)*$B$9-$B$4*$B$8</x:f>
        <x:v>109.55000000000001</x:v>
      </x:c>
      <x:c r="F410" t="n">
        <x:f>MIN($B$5,D410)*$B$7+MAX($B$5-D410,0)*$B$9-$B$5*$B$8</x:f>
        <x:v>82.05000000000001</x:v>
      </x:c>
      <x:c r="G410" t="n">
        <x:f>MIN($B$6,D410)*$B$7+MAX($B$6-D410,0)*$B$9-$B$6*$B$8</x:f>
        <x:v>27.049999999999955</x:v>
      </x:c>
      <x:c r="H410" t="n">
        <x:f>MAX(D410-$B$5,0)</x:f>
        <x:v>0</x:v>
      </x:c>
      <x:c r="I410" t="n">
        <x:f>MAX($B$5-D410,0)</x:f>
        <x:v>117</x:v>
      </x:c>
    </x:row>
    <x:row r="411">
      <x:c r="A411" t="n">
        <x:f>399</x:f>
        <x:v>399</x:v>
      </x:c>
      <x:c r="B411" t="n">
        <x:f>RAND()</x:f>
        <x:v>0.9622553966092343</x:v>
      </x:c>
      <x:c r="C411" t="n">
        <x:f>MIN(47,INT(B411*47)+1)</x:f>
        <x:v>46</x:v>
      </x:c>
      <x:c r="D411" t="n">
        <x:f>INDEX(Datos_47_semanas!$B$4:$B$50,C411)</x:f>
        <x:v>449</x:v>
      </x:c>
      <x:c r="E411" t="n">
        <x:f>MIN($B$4,D411)*$B$7+MAX($B$4-D411,0)*$B$9-$B$4*$B$8</x:f>
        <x:v>200</x:v>
      </x:c>
      <x:c r="F411" t="n">
        <x:f>MIN($B$5,D411)*$B$7+MAX($B$5-D411,0)*$B$9-$B$5*$B$8</x:f>
        <x:v>240</x:v>
      </x:c>
      <x:c r="G411" t="n">
        <x:f>MIN($B$6,D411)*$B$7+MAX($B$6-D411,0)*$B$9-$B$6*$B$8</x:f>
        <x:v>320</x:v>
      </x:c>
      <x:c r="H411" t="n">
        <x:f>MAX(D411-$B$5,0)</x:f>
        <x:v>149</x:v>
      </x:c>
      <x:c r="I411" t="n">
        <x:f>MAX($B$5-D411,0)</x:f>
        <x:v>0</x:v>
      </x:c>
    </x:row>
    <x:row r="412">
      <x:c r="A412" t="n">
        <x:f>400</x:f>
        <x:v>400</x:v>
      </x:c>
      <x:c r="B412" t="n">
        <x:f>RAND()</x:f>
        <x:v>0.09013314726522514</x:v>
      </x:c>
      <x:c r="C412" t="n">
        <x:f>MIN(47,INT(B412*47)+1)</x:f>
        <x:v>5</x:v>
      </x:c>
      <x:c r="D412" t="n">
        <x:f>INDEX(Datos_47_semanas!$B$4:$B$50,C412)</x:f>
        <x:v>347</x:v>
      </x:c>
      <x:c r="E412" t="n">
        <x:f>MIN($B$4,D412)*$B$7+MAX($B$4-D412,0)*$B$9-$B$4*$B$8</x:f>
        <x:v>200</x:v>
      </x:c>
      <x:c r="F412" t="n">
        <x:f>MIN($B$5,D412)*$B$7+MAX($B$5-D412,0)*$B$9-$B$5*$B$8</x:f>
        <x:v>240</x:v>
      </x:c>
      <x:c r="G412" t="n">
        <x:f>MIN($B$6,D412)*$B$7+MAX($B$6-D412,0)*$B$9-$B$6*$B$8</x:f>
        <x:v>248.44999999999993</x:v>
      </x:c>
      <x:c r="H412" t="n">
        <x:f>MAX(D412-$B$5,0)</x:f>
        <x:v>47</x:v>
      </x:c>
      <x:c r="I412" t="n">
        <x:f>MAX($B$5-D412,0)</x:f>
        <x:v>0</x:v>
      </x:c>
    </x:row>
    <x:row r="413">
      <x:c r="A413" t="n">
        <x:f>401</x:f>
        <x:v>401</x:v>
      </x:c>
      <x:c r="B413" t="n">
        <x:f>RAND()</x:f>
        <x:v>0.8731177227277138</x:v>
      </x:c>
      <x:c r="C413" t="n">
        <x:f>MIN(47,INT(B413*47)+1)</x:f>
        <x:v>42</x:v>
      </x:c>
      <x:c r="D413" t="n">
        <x:f>INDEX(Datos_47_semanas!$B$4:$B$50,C413)</x:f>
        <x:v>146</x:v>
      </x:c>
      <x:c r="E413" t="n">
        <x:f>MIN($B$4,D413)*$B$7+MAX($B$4-D413,0)*$B$9-$B$4*$B$8</x:f>
        <x:v>59.599999999999966</x:v>
      </x:c>
      <x:c r="F413" t="n">
        <x:f>MIN($B$5,D413)*$B$7+MAX($B$5-D413,0)*$B$9-$B$5*$B$8</x:f>
        <x:v>32.099999999999966</x:v>
      </x:c>
      <x:c r="G413" t="n">
        <x:f>MIN($B$6,D413)*$B$7+MAX($B$6-D413,0)*$B$9-$B$6*$B$8</x:f>
        <x:v>-22.900000000000034</x:v>
      </x:c>
      <x:c r="H413" t="n">
        <x:f>MAX(D413-$B$5,0)</x:f>
        <x:v>0</x:v>
      </x:c>
      <x:c r="I413" t="n">
        <x:f>MAX($B$5-D413,0)</x:f>
        <x:v>154</x:v>
      </x:c>
    </x:row>
    <x:row r="414">
      <x:c r="A414" t="n">
        <x:f>402</x:f>
        <x:v>402</x:v>
      </x:c>
      <x:c r="B414" t="n">
        <x:f>RAND()</x:f>
        <x:v>0.3937250130586176</x:v>
      </x:c>
      <x:c r="C414" t="n">
        <x:f>MIN(47,INT(B414*47)+1)</x:f>
        <x:v>19</x:v>
      </x:c>
      <x:c r="D414" t="n">
        <x:f>INDEX(Datos_47_semanas!$B$4:$B$50,C414)</x:f>
        <x:v>470</x:v>
      </x:c>
      <x:c r="E414" t="n">
        <x:f>MIN($B$4,D414)*$B$7+MAX($B$4-D414,0)*$B$9-$B$4*$B$8</x:f>
        <x:v>200</x:v>
      </x:c>
      <x:c r="F414" t="n">
        <x:f>MIN($B$5,D414)*$B$7+MAX($B$5-D414,0)*$B$9-$B$5*$B$8</x:f>
        <x:v>240</x:v>
      </x:c>
      <x:c r="G414" t="n">
        <x:f>MIN($B$6,D414)*$B$7+MAX($B$6-D414,0)*$B$9-$B$6*$B$8</x:f>
        <x:v>320</x:v>
      </x:c>
      <x:c r="H414" t="n">
        <x:f>MAX(D414-$B$5,0)</x:f>
        <x:v>170</x:v>
      </x:c>
      <x:c r="I414" t="n">
        <x:f>MAX($B$5-D414,0)</x:f>
        <x:v>0</x:v>
      </x:c>
    </x:row>
    <x:row r="415">
      <x:c r="A415" t="n">
        <x:f>403</x:f>
        <x:v>403</x:v>
      </x:c>
      <x:c r="B415" t="n">
        <x:f>RAND()</x:f>
        <x:v>0.9526241740514549</x:v>
      </x:c>
      <x:c r="C415" t="n">
        <x:f>MIN(47,INT(B415*47)+1)</x:f>
        <x:v>45</x:v>
      </x:c>
      <x:c r="D415" t="n">
        <x:f>INDEX(Datos_47_semanas!$B$4:$B$50,C415)</x:f>
        <x:v>526</x:v>
      </x:c>
      <x:c r="E415" t="n">
        <x:f>MIN($B$4,D415)*$B$7+MAX($B$4-D415,0)*$B$9-$B$4*$B$8</x:f>
        <x:v>200</x:v>
      </x:c>
      <x:c r="F415" t="n">
        <x:f>MIN($B$5,D415)*$B$7+MAX($B$5-D415,0)*$B$9-$B$5*$B$8</x:f>
        <x:v>240</x:v>
      </x:c>
      <x:c r="G415" t="n">
        <x:f>MIN($B$6,D415)*$B$7+MAX($B$6-D415,0)*$B$9-$B$6*$B$8</x:f>
        <x:v>320</x:v>
      </x:c>
      <x:c r="H415" t="n">
        <x:f>MAX(D415-$B$5,0)</x:f>
        <x:v>226</x:v>
      </x:c>
      <x:c r="I415" t="n">
        <x:f>MAX($B$5-D415,0)</x:f>
        <x:v>0</x:v>
      </x:c>
    </x:row>
    <x:row r="416">
      <x:c r="A416" t="n">
        <x:f>404</x:f>
        <x:v>404</x:v>
      </x:c>
      <x:c r="B416" t="n">
        <x:f>RAND()</x:f>
        <x:v>0.42185568410710894</x:v>
      </x:c>
      <x:c r="C416" t="n">
        <x:f>MIN(47,INT(B416*47)+1)</x:f>
        <x:v>20</x:v>
      </x:c>
      <x:c r="D416" t="n">
        <x:f>INDEX(Datos_47_semanas!$B$4:$B$50,C416)</x:f>
        <x:v>335</x:v>
      </x:c>
      <x:c r="E416" t="n">
        <x:f>MIN($B$4,D416)*$B$7+MAX($B$4-D416,0)*$B$9-$B$4*$B$8</x:f>
        <x:v>200</x:v>
      </x:c>
      <x:c r="F416" t="n">
        <x:f>MIN($B$5,D416)*$B$7+MAX($B$5-D416,0)*$B$9-$B$5*$B$8</x:f>
        <x:v>240</x:v>
      </x:c>
      <x:c r="G416" t="n">
        <x:f>MIN($B$6,D416)*$B$7+MAX($B$6-D416,0)*$B$9-$B$6*$B$8</x:f>
        <x:v>232.25</x:v>
      </x:c>
      <x:c r="H416" t="n">
        <x:f>MAX(D416-$B$5,0)</x:f>
        <x:v>35</x:v>
      </x:c>
      <x:c r="I416" t="n">
        <x:f>MAX($B$5-D416,0)</x:f>
        <x:v>0</x:v>
      </x:c>
    </x:row>
    <x:row r="417">
      <x:c r="A417" t="n">
        <x:f>405</x:f>
        <x:v>405</x:v>
      </x:c>
      <x:c r="B417" t="n">
        <x:f>RAND()</x:f>
        <x:v>0.2369415064660626</x:v>
      </x:c>
      <x:c r="C417" t="n">
        <x:f>MIN(47,INT(B417*47)+1)</x:f>
        <x:v>12</x:v>
      </x:c>
      <x:c r="D417" t="n">
        <x:f>INDEX(Datos_47_semanas!$B$4:$B$50,C417)</x:f>
        <x:v>336</x:v>
      </x:c>
      <x:c r="E417" t="n">
        <x:f>MIN($B$4,D417)*$B$7+MAX($B$4-D417,0)*$B$9-$B$4*$B$8</x:f>
        <x:v>200</x:v>
      </x:c>
      <x:c r="F417" t="n">
        <x:f>MIN($B$5,D417)*$B$7+MAX($B$5-D417,0)*$B$9-$B$5*$B$8</x:f>
        <x:v>240</x:v>
      </x:c>
      <x:c r="G417" t="n">
        <x:f>MIN($B$6,D417)*$B$7+MAX($B$6-D417,0)*$B$9-$B$6*$B$8</x:f>
        <x:v>233.60000000000002</x:v>
      </x:c>
      <x:c r="H417" t="n">
        <x:f>MAX(D417-$B$5,0)</x:f>
        <x:v>36</x:v>
      </x:c>
      <x:c r="I417" t="n">
        <x:f>MAX($B$5-D417,0)</x:f>
        <x:v>0</x:v>
      </x:c>
    </x:row>
    <x:row r="418">
      <x:c r="A418" t="n">
        <x:f>406</x:f>
        <x:v>406</x:v>
      </x:c>
      <x:c r="B418" t="n">
        <x:f>RAND()</x:f>
        <x:v>0.03740110683936504</x:v>
      </x:c>
      <x:c r="C418" t="n">
        <x:f>MIN(47,INT(B418*47)+1)</x:f>
        <x:v>2</x:v>
      </x:c>
      <x:c r="D418" t="n">
        <x:f>INDEX(Datos_47_semanas!$B$4:$B$50,C418)</x:f>
        <x:v>282</x:v>
      </x:c>
      <x:c r="E418" t="n">
        <x:f>MIN($B$4,D418)*$B$7+MAX($B$4-D418,0)*$B$9-$B$4*$B$8</x:f>
        <x:v>200</x:v>
      </x:c>
      <x:c r="F418" t="n">
        <x:f>MIN($B$5,D418)*$B$7+MAX($B$5-D418,0)*$B$9-$B$5*$B$8</x:f>
        <x:v>215.69999999999993</x:v>
      </x:c>
      <x:c r="G418" t="n">
        <x:f>MIN($B$6,D418)*$B$7+MAX($B$6-D418,0)*$B$9-$B$6*$B$8</x:f>
        <x:v>160.69999999999993</x:v>
      </x:c>
      <x:c r="H418" t="n">
        <x:f>MAX(D418-$B$5,0)</x:f>
        <x:v>0</x:v>
      </x:c>
      <x:c r="I418" t="n">
        <x:f>MAX($B$5-D418,0)</x:f>
        <x:v>18</x:v>
      </x:c>
    </x:row>
    <x:row r="419">
      <x:c r="A419" t="n">
        <x:f>407</x:f>
        <x:v>407</x:v>
      </x:c>
      <x:c r="B419" t="n">
        <x:f>RAND()</x:f>
        <x:v>0.3774224503131499</x:v>
      </x:c>
      <x:c r="C419" t="n">
        <x:f>MIN(47,INT(B419*47)+1)</x:f>
        <x:v>18</x:v>
      </x:c>
      <x:c r="D419" t="n">
        <x:f>INDEX(Datos_47_semanas!$B$4:$B$50,C419)</x:f>
        <x:v>219</x:v>
      </x:c>
      <x:c r="E419" t="n">
        <x:f>MIN($B$4,D419)*$B$7+MAX($B$4-D419,0)*$B$9-$B$4*$B$8</x:f>
        <x:v>158.14999999999998</x:v>
      </x:c>
      <x:c r="F419" t="n">
        <x:f>MIN($B$5,D419)*$B$7+MAX($B$5-D419,0)*$B$9-$B$5*$B$8</x:f>
        <x:v>130.64999999999998</x:v>
      </x:c>
      <x:c r="G419" t="n">
        <x:f>MIN($B$6,D419)*$B$7+MAX($B$6-D419,0)*$B$9-$B$6*$B$8</x:f>
        <x:v>75.64999999999998</x:v>
      </x:c>
      <x:c r="H419" t="n">
        <x:f>MAX(D419-$B$5,0)</x:f>
        <x:v>0</x:v>
      </x:c>
      <x:c r="I419" t="n">
        <x:f>MAX($B$5-D419,0)</x:f>
        <x:v>81</x:v>
      </x:c>
    </x:row>
    <x:row r="420">
      <x:c r="A420" t="n">
        <x:f>408</x:f>
        <x:v>408</x:v>
      </x:c>
      <x:c r="B420" t="n">
        <x:f>RAND()</x:f>
        <x:v>0.6124937206311764</x:v>
      </x:c>
      <x:c r="C420" t="n">
        <x:f>MIN(47,INT(B420*47)+1)</x:f>
        <x:v>29</x:v>
      </x:c>
      <x:c r="D420" t="n">
        <x:f>INDEX(Datos_47_semanas!$B$4:$B$50,C420)</x:f>
        <x:v>415</x:v>
      </x:c>
      <x:c r="E420" t="n">
        <x:f>MIN($B$4,D420)*$B$7+MAX($B$4-D420,0)*$B$9-$B$4*$B$8</x:f>
        <x:v>200</x:v>
      </x:c>
      <x:c r="F420" t="n">
        <x:f>MIN($B$5,D420)*$B$7+MAX($B$5-D420,0)*$B$9-$B$5*$B$8</x:f>
        <x:v>240</x:v>
      </x:c>
      <x:c r="G420" t="n">
        <x:f>MIN($B$6,D420)*$B$7+MAX($B$6-D420,0)*$B$9-$B$6*$B$8</x:f>
        <x:v>320</x:v>
      </x:c>
      <x:c r="H420" t="n">
        <x:f>MAX(D420-$B$5,0)</x:f>
        <x:v>115</x:v>
      </x:c>
      <x:c r="I420" t="n">
        <x:f>MAX($B$5-D420,0)</x:f>
        <x:v>0</x:v>
      </x:c>
    </x:row>
    <x:row r="421">
      <x:c r="A421" t="n">
        <x:f>409</x:f>
        <x:v>409</x:v>
      </x:c>
      <x:c r="B421" t="n">
        <x:f>RAND()</x:f>
        <x:v>0.6838865604965398</x:v>
      </x:c>
      <x:c r="C421" t="n">
        <x:f>MIN(47,INT(B421*47)+1)</x:f>
        <x:v>33</x:v>
      </x:c>
      <x:c r="D421" t="n">
        <x:f>INDEX(Datos_47_semanas!$B$4:$B$50,C421)</x:f>
        <x:v>373</x:v>
      </x:c>
      <x:c r="E421" t="n">
        <x:f>MIN($B$4,D421)*$B$7+MAX($B$4-D421,0)*$B$9-$B$4*$B$8</x:f>
        <x:v>200</x:v>
      </x:c>
      <x:c r="F421" t="n">
        <x:f>MIN($B$5,D421)*$B$7+MAX($B$5-D421,0)*$B$9-$B$5*$B$8</x:f>
        <x:v>240</x:v>
      </x:c>
      <x:c r="G421" t="n">
        <x:f>MIN($B$6,D421)*$B$7+MAX($B$6-D421,0)*$B$9-$B$6*$B$8</x:f>
        <x:v>283.54999999999995</x:v>
      </x:c>
      <x:c r="H421" t="n">
        <x:f>MAX(D421-$B$5,0)</x:f>
        <x:v>73</x:v>
      </x:c>
      <x:c r="I421" t="n">
        <x:f>MAX($B$5-D421,0)</x:f>
        <x:v>0</x:v>
      </x:c>
    </x:row>
    <x:row r="422">
      <x:c r="A422" t="n">
        <x:f>410</x:f>
        <x:v>410</x:v>
      </x:c>
      <x:c r="B422" t="n">
        <x:f>RAND()</x:f>
        <x:v>0.8044525614587001</x:v>
      </x:c>
      <x:c r="C422" t="n">
        <x:f>MIN(47,INT(B422*47)+1)</x:f>
        <x:v>38</x:v>
      </x:c>
      <x:c r="D422" t="n">
        <x:f>INDEX(Datos_47_semanas!$B$4:$B$50,C422)</x:f>
        <x:v>212</x:v>
      </x:c>
      <x:c r="E422" t="n">
        <x:f>MIN($B$4,D422)*$B$7+MAX($B$4-D422,0)*$B$9-$B$4*$B$8</x:f>
        <x:v>148.69999999999993</x:v>
      </x:c>
      <x:c r="F422" t="n">
        <x:f>MIN($B$5,D422)*$B$7+MAX($B$5-D422,0)*$B$9-$B$5*$B$8</x:f>
        <x:v>121.19999999999993</x:v>
      </x:c>
      <x:c r="G422" t="n">
        <x:f>MIN($B$6,D422)*$B$7+MAX($B$6-D422,0)*$B$9-$B$6*$B$8</x:f>
        <x:v>66.19999999999993</x:v>
      </x:c>
      <x:c r="H422" t="n">
        <x:f>MAX(D422-$B$5,0)</x:f>
        <x:v>0</x:v>
      </x:c>
      <x:c r="I422" t="n">
        <x:f>MAX($B$5-D422,0)</x:f>
        <x:v>88</x:v>
      </x:c>
    </x:row>
    <x:row r="423">
      <x:c r="A423" t="n">
        <x:f>411</x:f>
        <x:v>411</x:v>
      </x:c>
      <x:c r="B423" t="n">
        <x:f>RAND()</x:f>
        <x:v>0.1332179147396928</x:v>
      </x:c>
      <x:c r="C423" t="n">
        <x:f>MIN(47,INT(B423*47)+1)</x:f>
        <x:v>7</x:v>
      </x:c>
      <x:c r="D423" t="n">
        <x:f>INDEX(Datos_47_semanas!$B$4:$B$50,C423)</x:f>
        <x:v>249</x:v>
      </x:c>
      <x:c r="E423" t="n">
        <x:f>MIN($B$4,D423)*$B$7+MAX($B$4-D423,0)*$B$9-$B$4*$B$8</x:f>
        <x:v>198.64999999999998</x:v>
      </x:c>
      <x:c r="F423" t="n">
        <x:f>MIN($B$5,D423)*$B$7+MAX($B$5-D423,0)*$B$9-$B$5*$B$8</x:f>
        <x:v>171.14999999999998</x:v>
      </x:c>
      <x:c r="G423" t="n">
        <x:f>MIN($B$6,D423)*$B$7+MAX($B$6-D423,0)*$B$9-$B$6*$B$8</x:f>
        <x:v>116.14999999999998</x:v>
      </x:c>
      <x:c r="H423" t="n">
        <x:f>MAX(D423-$B$5,0)</x:f>
        <x:v>0</x:v>
      </x:c>
      <x:c r="I423" t="n">
        <x:f>MAX($B$5-D423,0)</x:f>
        <x:v>51</x:v>
      </x:c>
    </x:row>
    <x:row r="424">
      <x:c r="A424" t="n">
        <x:f>412</x:f>
        <x:v>412</x:v>
      </x:c>
      <x:c r="B424" t="n">
        <x:f>RAND()</x:f>
        <x:v>0.5144885737856011</x:v>
      </x:c>
      <x:c r="C424" t="n">
        <x:f>MIN(47,INT(B424*47)+1)</x:f>
        <x:v>25</x:v>
      </x:c>
      <x:c r="D424" t="n">
        <x:f>INDEX(Datos_47_semanas!$B$4:$B$50,C424)</x:f>
        <x:v>218</x:v>
      </x:c>
      <x:c r="E424" t="n">
        <x:f>MIN($B$4,D424)*$B$7+MAX($B$4-D424,0)*$B$9-$B$4*$B$8</x:f>
        <x:v>156.8</x:v>
      </x:c>
      <x:c r="F424" t="n">
        <x:f>MIN($B$5,D424)*$B$7+MAX($B$5-D424,0)*$B$9-$B$5*$B$8</x:f>
        <x:v>129.3</x:v>
      </x:c>
      <x:c r="G424" t="n">
        <x:f>MIN($B$6,D424)*$B$7+MAX($B$6-D424,0)*$B$9-$B$6*$B$8</x:f>
        <x:v>74.30000000000001</x:v>
      </x:c>
      <x:c r="H424" t="n">
        <x:f>MAX(D424-$B$5,0)</x:f>
        <x:v>0</x:v>
      </x:c>
      <x:c r="I424" t="n">
        <x:f>MAX($B$5-D424,0)</x:f>
        <x:v>82</x:v>
      </x:c>
    </x:row>
    <x:row r="425">
      <x:c r="A425" t="n">
        <x:f>413</x:f>
        <x:v>413</x:v>
      </x:c>
      <x:c r="B425" t="n">
        <x:f>RAND()</x:f>
        <x:v>0.25203619806970345</x:v>
      </x:c>
      <x:c r="C425" t="n">
        <x:f>MIN(47,INT(B425*47)+1)</x:f>
        <x:v>12</x:v>
      </x:c>
      <x:c r="D425" t="n">
        <x:f>INDEX(Datos_47_semanas!$B$4:$B$50,C425)</x:f>
        <x:v>336</x:v>
      </x:c>
      <x:c r="E425" t="n">
        <x:f>MIN($B$4,D425)*$B$7+MAX($B$4-D425,0)*$B$9-$B$4*$B$8</x:f>
        <x:v>200</x:v>
      </x:c>
      <x:c r="F425" t="n">
        <x:f>MIN($B$5,D425)*$B$7+MAX($B$5-D425,0)*$B$9-$B$5*$B$8</x:f>
        <x:v>240</x:v>
      </x:c>
      <x:c r="G425" t="n">
        <x:f>MIN($B$6,D425)*$B$7+MAX($B$6-D425,0)*$B$9-$B$6*$B$8</x:f>
        <x:v>233.60000000000002</x:v>
      </x:c>
      <x:c r="H425" t="n">
        <x:f>MAX(D425-$B$5,0)</x:f>
        <x:v>36</x:v>
      </x:c>
      <x:c r="I425" t="n">
        <x:f>MAX($B$5-D425,0)</x:f>
        <x:v>0</x:v>
      </x:c>
    </x:row>
    <x:row r="426">
      <x:c r="A426" t="n">
        <x:f>414</x:f>
        <x:v>414</x:v>
      </x:c>
      <x:c r="B426" t="n">
        <x:f>RAND()</x:f>
        <x:v>0.7057830075688589</x:v>
      </x:c>
      <x:c r="C426" t="n">
        <x:f>MIN(47,INT(B426*47)+1)</x:f>
        <x:v>34</x:v>
      </x:c>
      <x:c r="D426" t="n">
        <x:f>INDEX(Datos_47_semanas!$B$4:$B$50,C426)</x:f>
        <x:v>281</x:v>
      </x:c>
      <x:c r="E426" t="n">
        <x:f>MIN($B$4,D426)*$B$7+MAX($B$4-D426,0)*$B$9-$B$4*$B$8</x:f>
        <x:v>200</x:v>
      </x:c>
      <x:c r="F426" t="n">
        <x:f>MIN($B$5,D426)*$B$7+MAX($B$5-D426,0)*$B$9-$B$5*$B$8</x:f>
        <x:v>214.34999999999997</x:v>
      </x:c>
      <x:c r="G426" t="n">
        <x:f>MIN($B$6,D426)*$B$7+MAX($B$6-D426,0)*$B$9-$B$6*$B$8</x:f>
        <x:v>159.34999999999997</x:v>
      </x:c>
      <x:c r="H426" t="n">
        <x:f>MAX(D426-$B$5,0)</x:f>
        <x:v>0</x:v>
      </x:c>
      <x:c r="I426" t="n">
        <x:f>MAX($B$5-D426,0)</x:f>
        <x:v>19</x:v>
      </x:c>
    </x:row>
    <x:row r="427">
      <x:c r="A427" t="n">
        <x:f>415</x:f>
        <x:v>415</x:v>
      </x:c>
      <x:c r="B427" t="n">
        <x:f>RAND()</x:f>
        <x:v>0.8502336970877606</x:v>
      </x:c>
      <x:c r="C427" t="n">
        <x:f>MIN(47,INT(B427*47)+1)</x:f>
        <x:v>40</x:v>
      </x:c>
      <x:c r="D427" t="n">
        <x:f>INDEX(Datos_47_semanas!$B$4:$B$50,C427)</x:f>
        <x:v>278</x:v>
      </x:c>
      <x:c r="E427" t="n">
        <x:f>MIN($B$4,D427)*$B$7+MAX($B$4-D427,0)*$B$9-$B$4*$B$8</x:f>
        <x:v>200</x:v>
      </x:c>
      <x:c r="F427" t="n">
        <x:f>MIN($B$5,D427)*$B$7+MAX($B$5-D427,0)*$B$9-$B$5*$B$8</x:f>
        <x:v>210.3</x:v>
      </x:c>
      <x:c r="G427" t="n">
        <x:f>MIN($B$6,D427)*$B$7+MAX($B$6-D427,0)*$B$9-$B$6*$B$8</x:f>
        <x:v>155.3</x:v>
      </x:c>
      <x:c r="H427" t="n">
        <x:f>MAX(D427-$B$5,0)</x:f>
        <x:v>0</x:v>
      </x:c>
      <x:c r="I427" t="n">
        <x:f>MAX($B$5-D427,0)</x:f>
        <x:v>22</x:v>
      </x:c>
    </x:row>
    <x:row r="428">
      <x:c r="A428" t="n">
        <x:f>416</x:f>
        <x:v>416</x:v>
      </x:c>
      <x:c r="B428" t="n">
        <x:f>RAND()</x:f>
        <x:v>0.7311509165155314</x:v>
      </x:c>
      <x:c r="C428" t="n">
        <x:f>MIN(47,INT(B428*47)+1)</x:f>
        <x:v>35</x:v>
      </x:c>
      <x:c r="D428" t="n">
        <x:f>INDEX(Datos_47_semanas!$B$4:$B$50,C428)</x:f>
        <x:v>192</x:v>
      </x:c>
      <x:c r="E428" t="n">
        <x:f>MIN($B$4,D428)*$B$7+MAX($B$4-D428,0)*$B$9-$B$4*$B$8</x:f>
        <x:v>121.69999999999993</x:v>
      </x:c>
      <x:c r="F428" t="n">
        <x:f>MIN($B$5,D428)*$B$7+MAX($B$5-D428,0)*$B$9-$B$5*$B$8</x:f>
        <x:v>94.19999999999993</x:v>
      </x:c>
      <x:c r="G428" t="n">
        <x:f>MIN($B$6,D428)*$B$7+MAX($B$6-D428,0)*$B$9-$B$6*$B$8</x:f>
        <x:v>39.19999999999993</x:v>
      </x:c>
      <x:c r="H428" t="n">
        <x:f>MAX(D428-$B$5,0)</x:f>
        <x:v>0</x:v>
      </x:c>
      <x:c r="I428" t="n">
        <x:f>MAX($B$5-D428,0)</x:f>
        <x:v>108</x:v>
      </x:c>
    </x:row>
    <x:row r="429">
      <x:c r="A429" t="n">
        <x:f>417</x:f>
        <x:v>417</x:v>
      </x:c>
      <x:c r="B429" t="n">
        <x:f>RAND()</x:f>
        <x:v>0.5106797735411792</x:v>
      </x:c>
      <x:c r="C429" t="n">
        <x:f>MIN(47,INT(B429*47)+1)</x:f>
        <x:v>25</x:v>
      </x:c>
      <x:c r="D429" t="n">
        <x:f>INDEX(Datos_47_semanas!$B$4:$B$50,C429)</x:f>
        <x:v>218</x:v>
      </x:c>
      <x:c r="E429" t="n">
        <x:f>MIN($B$4,D429)*$B$7+MAX($B$4-D429,0)*$B$9-$B$4*$B$8</x:f>
        <x:v>156.8</x:v>
      </x:c>
      <x:c r="F429" t="n">
        <x:f>MIN($B$5,D429)*$B$7+MAX($B$5-D429,0)*$B$9-$B$5*$B$8</x:f>
        <x:v>129.3</x:v>
      </x:c>
      <x:c r="G429" t="n">
        <x:f>MIN($B$6,D429)*$B$7+MAX($B$6-D429,0)*$B$9-$B$6*$B$8</x:f>
        <x:v>74.30000000000001</x:v>
      </x:c>
      <x:c r="H429" t="n">
        <x:f>MAX(D429-$B$5,0)</x:f>
        <x:v>0</x:v>
      </x:c>
      <x:c r="I429" t="n">
        <x:f>MAX($B$5-D429,0)</x:f>
        <x:v>82</x:v>
      </x:c>
    </x:row>
    <x:row r="430">
      <x:c r="A430" t="n">
        <x:f>418</x:f>
        <x:v>418</x:v>
      </x:c>
      <x:c r="B430" t="n">
        <x:f>RAND()</x:f>
        <x:v>0.1987754654503261</x:v>
      </x:c>
      <x:c r="C430" t="n">
        <x:f>MIN(47,INT(B430*47)+1)</x:f>
        <x:v>10</x:v>
      </x:c>
      <x:c r="D430" t="n">
        <x:f>INDEX(Datos_47_semanas!$B$4:$B$50,C430)</x:f>
        <x:v>98</x:v>
      </x:c>
      <x:c r="E430" t="n">
        <x:f>MIN($B$4,D430)*$B$7+MAX($B$4-D430,0)*$B$9-$B$4*$B$8</x:f>
        <x:v>-5.200000000000017</x:v>
      </x:c>
      <x:c r="F430" t="n">
        <x:f>MIN($B$5,D430)*$B$7+MAX($B$5-D430,0)*$B$9-$B$5*$B$8</x:f>
        <x:v>-32.70000000000002</x:v>
      </x:c>
      <x:c r="G430" t="n">
        <x:f>MIN($B$6,D430)*$B$7+MAX($B$6-D430,0)*$B$9-$B$6*$B$8</x:f>
        <x:v>-87.70000000000002</x:v>
      </x:c>
      <x:c r="H430" t="n">
        <x:f>MAX(D430-$B$5,0)</x:f>
        <x:v>0</x:v>
      </x:c>
      <x:c r="I430" t="n">
        <x:f>MAX($B$5-D430,0)</x:f>
        <x:v>202</x:v>
      </x:c>
    </x:row>
    <x:row r="431">
      <x:c r="A431" t="n">
        <x:f>419</x:f>
        <x:v>419</x:v>
      </x:c>
      <x:c r="B431" t="n">
        <x:f>RAND()</x:f>
        <x:v>0.12417402627599139</x:v>
      </x:c>
      <x:c r="C431" t="n">
        <x:f>MIN(47,INT(B431*47)+1)</x:f>
        <x:v>6</x:v>
      </x:c>
      <x:c r="D431" t="n">
        <x:f>INDEX(Datos_47_semanas!$B$4:$B$50,C431)</x:f>
        <x:v>155</x:v>
      </x:c>
      <x:c r="E431" t="n">
        <x:f>MIN($B$4,D431)*$B$7+MAX($B$4-D431,0)*$B$9-$B$4*$B$8</x:f>
        <x:v>71.75</x:v>
      </x:c>
      <x:c r="F431" t="n">
        <x:f>MIN($B$5,D431)*$B$7+MAX($B$5-D431,0)*$B$9-$B$5*$B$8</x:f>
        <x:v>44.25</x:v>
      </x:c>
      <x:c r="G431" t="n">
        <x:f>MIN($B$6,D431)*$B$7+MAX($B$6-D431,0)*$B$9-$B$6*$B$8</x:f>
        <x:v>-10.75</x:v>
      </x:c>
      <x:c r="H431" t="n">
        <x:f>MAX(D431-$B$5,0)</x:f>
        <x:v>0</x:v>
      </x:c>
      <x:c r="I431" t="n">
        <x:f>MAX($B$5-D431,0)</x:f>
        <x:v>145</x:v>
      </x:c>
    </x:row>
    <x:row r="432">
      <x:c r="A432" t="n">
        <x:f>420</x:f>
        <x:v>420</x:v>
      </x:c>
      <x:c r="B432" t="n">
        <x:f>RAND()</x:f>
        <x:v>0.8006830563775258</x:v>
      </x:c>
      <x:c r="C432" t="n">
        <x:f>MIN(47,INT(B432*47)+1)</x:f>
        <x:v>38</x:v>
      </x:c>
      <x:c r="D432" t="n">
        <x:f>INDEX(Datos_47_semanas!$B$4:$B$50,C432)</x:f>
        <x:v>212</x:v>
      </x:c>
      <x:c r="E432" t="n">
        <x:f>MIN($B$4,D432)*$B$7+MAX($B$4-D432,0)*$B$9-$B$4*$B$8</x:f>
        <x:v>148.69999999999993</x:v>
      </x:c>
      <x:c r="F432" t="n">
        <x:f>MIN($B$5,D432)*$B$7+MAX($B$5-D432,0)*$B$9-$B$5*$B$8</x:f>
        <x:v>121.19999999999993</x:v>
      </x:c>
      <x:c r="G432" t="n">
        <x:f>MIN($B$6,D432)*$B$7+MAX($B$6-D432,0)*$B$9-$B$6*$B$8</x:f>
        <x:v>66.19999999999993</x:v>
      </x:c>
      <x:c r="H432" t="n">
        <x:f>MAX(D432-$B$5,0)</x:f>
        <x:v>0</x:v>
      </x:c>
      <x:c r="I432" t="n">
        <x:f>MAX($B$5-D432,0)</x:f>
        <x:v>88</x:v>
      </x:c>
    </x:row>
    <x:row r="433">
      <x:c r="A433" t="n">
        <x:f>421</x:f>
        <x:v>421</x:v>
      </x:c>
      <x:c r="B433" t="n">
        <x:f>RAND()</x:f>
        <x:v>0.5132849530649441</x:v>
      </x:c>
      <x:c r="C433" t="n">
        <x:f>MIN(47,INT(B433*47)+1)</x:f>
        <x:v>25</x:v>
      </x:c>
      <x:c r="D433" t="n">
        <x:f>INDEX(Datos_47_semanas!$B$4:$B$50,C433)</x:f>
        <x:v>218</x:v>
      </x:c>
      <x:c r="E433" t="n">
        <x:f>MIN($B$4,D433)*$B$7+MAX($B$4-D433,0)*$B$9-$B$4*$B$8</x:f>
        <x:v>156.8</x:v>
      </x:c>
      <x:c r="F433" t="n">
        <x:f>MIN($B$5,D433)*$B$7+MAX($B$5-D433,0)*$B$9-$B$5*$B$8</x:f>
        <x:v>129.3</x:v>
      </x:c>
      <x:c r="G433" t="n">
        <x:f>MIN($B$6,D433)*$B$7+MAX($B$6-D433,0)*$B$9-$B$6*$B$8</x:f>
        <x:v>74.30000000000001</x:v>
      </x:c>
      <x:c r="H433" t="n">
        <x:f>MAX(D433-$B$5,0)</x:f>
        <x:v>0</x:v>
      </x:c>
      <x:c r="I433" t="n">
        <x:f>MAX($B$5-D433,0)</x:f>
        <x:v>82</x:v>
      </x:c>
    </x:row>
    <x:row r="434">
      <x:c r="A434" t="n">
        <x:f>422</x:f>
        <x:v>422</x:v>
      </x:c>
      <x:c r="B434" t="n">
        <x:f>RAND()</x:f>
        <x:v>0.9351587551208052</x:v>
      </x:c>
      <x:c r="C434" t="n">
        <x:f>MIN(47,INT(B434*47)+1)</x:f>
        <x:v>44</x:v>
      </x:c>
      <x:c r="D434" t="n">
        <x:f>INDEX(Datos_47_semanas!$B$4:$B$50,C434)</x:f>
        <x:v>223</x:v>
      </x:c>
      <x:c r="E434" t="n">
        <x:f>MIN($B$4,D434)*$B$7+MAX($B$4-D434,0)*$B$9-$B$4*$B$8</x:f>
        <x:v>163.55</x:v>
      </x:c>
      <x:c r="F434" t="n">
        <x:f>MIN($B$5,D434)*$B$7+MAX($B$5-D434,0)*$B$9-$B$5*$B$8</x:f>
        <x:v>136.05</x:v>
      </x:c>
      <x:c r="G434" t="n">
        <x:f>MIN($B$6,D434)*$B$7+MAX($B$6-D434,0)*$B$9-$B$6*$B$8</x:f>
        <x:v>81.05000000000001</x:v>
      </x:c>
      <x:c r="H434" t="n">
        <x:f>MAX(D434-$B$5,0)</x:f>
        <x:v>0</x:v>
      </x:c>
      <x:c r="I434" t="n">
        <x:f>MAX($B$5-D434,0)</x:f>
        <x:v>77</x:v>
      </x:c>
    </x:row>
    <x:row r="435">
      <x:c r="A435" t="n">
        <x:f>423</x:f>
        <x:v>423</x:v>
      </x:c>
      <x:c r="B435" t="n">
        <x:f>RAND()</x:f>
        <x:v>0.6886978958330667</x:v>
      </x:c>
      <x:c r="C435" t="n">
        <x:f>MIN(47,INT(B435*47)+1)</x:f>
        <x:v>33</x:v>
      </x:c>
      <x:c r="D435" t="n">
        <x:f>INDEX(Datos_47_semanas!$B$4:$B$50,C435)</x:f>
        <x:v>373</x:v>
      </x:c>
      <x:c r="E435" t="n">
        <x:f>MIN($B$4,D435)*$B$7+MAX($B$4-D435,0)*$B$9-$B$4*$B$8</x:f>
        <x:v>200</x:v>
      </x:c>
      <x:c r="F435" t="n">
        <x:f>MIN($B$5,D435)*$B$7+MAX($B$5-D435,0)*$B$9-$B$5*$B$8</x:f>
        <x:v>240</x:v>
      </x:c>
      <x:c r="G435" t="n">
        <x:f>MIN($B$6,D435)*$B$7+MAX($B$6-D435,0)*$B$9-$B$6*$B$8</x:f>
        <x:v>283.54999999999995</x:v>
      </x:c>
      <x:c r="H435" t="n">
        <x:f>MAX(D435-$B$5,0)</x:f>
        <x:v>73</x:v>
      </x:c>
      <x:c r="I435" t="n">
        <x:f>MAX($B$5-D435,0)</x:f>
        <x:v>0</x:v>
      </x:c>
    </x:row>
    <x:row r="436">
      <x:c r="A436" t="n">
        <x:f>424</x:f>
        <x:v>424</x:v>
      </x:c>
      <x:c r="B436" t="n">
        <x:f>RAND()</x:f>
        <x:v>0.5968636793693286</x:v>
      </x:c>
      <x:c r="C436" t="n">
        <x:f>MIN(47,INT(B436*47)+1)</x:f>
        <x:v>29</x:v>
      </x:c>
      <x:c r="D436" t="n">
        <x:f>INDEX(Datos_47_semanas!$B$4:$B$50,C436)</x:f>
        <x:v>415</x:v>
      </x:c>
      <x:c r="E436" t="n">
        <x:f>MIN($B$4,D436)*$B$7+MAX($B$4-D436,0)*$B$9-$B$4*$B$8</x:f>
        <x:v>200</x:v>
      </x:c>
      <x:c r="F436" t="n">
        <x:f>MIN($B$5,D436)*$B$7+MAX($B$5-D436,0)*$B$9-$B$5*$B$8</x:f>
        <x:v>240</x:v>
      </x:c>
      <x:c r="G436" t="n">
        <x:f>MIN($B$6,D436)*$B$7+MAX($B$6-D436,0)*$B$9-$B$6*$B$8</x:f>
        <x:v>320</x:v>
      </x:c>
      <x:c r="H436" t="n">
        <x:f>MAX(D436-$B$5,0)</x:f>
        <x:v>115</x:v>
      </x:c>
      <x:c r="I436" t="n">
        <x:f>MAX($B$5-D436,0)</x:f>
        <x:v>0</x:v>
      </x:c>
    </x:row>
    <x:row r="437">
      <x:c r="A437" t="n">
        <x:f>425</x:f>
        <x:v>425</x:v>
      </x:c>
      <x:c r="B437" t="n">
        <x:f>RAND()</x:f>
        <x:v>0.47096659492984483</x:v>
      </x:c>
      <x:c r="C437" t="n">
        <x:f>MIN(47,INT(B437*47)+1)</x:f>
        <x:v>23</x:v>
      </x:c>
      <x:c r="D437" t="n">
        <x:f>INDEX(Datos_47_semanas!$B$4:$B$50,C437)</x:f>
        <x:v>565</x:v>
      </x:c>
      <x:c r="E437" t="n">
        <x:f>MIN($B$4,D437)*$B$7+MAX($B$4-D437,0)*$B$9-$B$4*$B$8</x:f>
        <x:v>200</x:v>
      </x:c>
      <x:c r="F437" t="n">
        <x:f>MIN($B$5,D437)*$B$7+MAX($B$5-D437,0)*$B$9-$B$5*$B$8</x:f>
        <x:v>240</x:v>
      </x:c>
      <x:c r="G437" t="n">
        <x:f>MIN($B$6,D437)*$B$7+MAX($B$6-D437,0)*$B$9-$B$6*$B$8</x:f>
        <x:v>320</x:v>
      </x:c>
      <x:c r="H437" t="n">
        <x:f>MAX(D437-$B$5,0)</x:f>
        <x:v>265</x:v>
      </x:c>
      <x:c r="I437" t="n">
        <x:f>MAX($B$5-D437,0)</x:f>
        <x:v>0</x:v>
      </x:c>
    </x:row>
    <x:row r="438">
      <x:c r="A438" t="n">
        <x:f>426</x:f>
        <x:v>426</x:v>
      </x:c>
      <x:c r="B438" t="n">
        <x:f>RAND()</x:f>
        <x:v>0.6349290757467563</x:v>
      </x:c>
      <x:c r="C438" t="n">
        <x:f>MIN(47,INT(B438*47)+1)</x:f>
        <x:v>30</x:v>
      </x:c>
      <x:c r="D438" t="n">
        <x:f>INDEX(Datos_47_semanas!$B$4:$B$50,C438)</x:f>
        <x:v>345</x:v>
      </x:c>
      <x:c r="E438" t="n">
        <x:f>MIN($B$4,D438)*$B$7+MAX($B$4-D438,0)*$B$9-$B$4*$B$8</x:f>
        <x:v>200</x:v>
      </x:c>
      <x:c r="F438" t="n">
        <x:f>MIN($B$5,D438)*$B$7+MAX($B$5-D438,0)*$B$9-$B$5*$B$8</x:f>
        <x:v>240</x:v>
      </x:c>
      <x:c r="G438" t="n">
        <x:f>MIN($B$6,D438)*$B$7+MAX($B$6-D438,0)*$B$9-$B$6*$B$8</x:f>
        <x:v>245.75</x:v>
      </x:c>
      <x:c r="H438" t="n">
        <x:f>MAX(D438-$B$5,0)</x:f>
        <x:v>45</x:v>
      </x:c>
      <x:c r="I438" t="n">
        <x:f>MAX($B$5-D438,0)</x:f>
        <x:v>0</x:v>
      </x:c>
    </x:row>
    <x:row r="439">
      <x:c r="A439" t="n">
        <x:f>427</x:f>
        <x:v>427</x:v>
      </x:c>
      <x:c r="B439" t="n">
        <x:f>RAND()</x:f>
        <x:v>0.6383543130327493</x:v>
      </x:c>
      <x:c r="C439" t="n">
        <x:f>MIN(47,INT(B439*47)+1)</x:f>
        <x:v>31</x:v>
      </x:c>
      <x:c r="D439" t="n">
        <x:f>INDEX(Datos_47_semanas!$B$4:$B$50,C439)</x:f>
        <x:v>583</x:v>
      </x:c>
      <x:c r="E439" t="n">
        <x:f>MIN($B$4,D439)*$B$7+MAX($B$4-D439,0)*$B$9-$B$4*$B$8</x:f>
        <x:v>200</x:v>
      </x:c>
      <x:c r="F439" t="n">
        <x:f>MIN($B$5,D439)*$B$7+MAX($B$5-D439,0)*$B$9-$B$5*$B$8</x:f>
        <x:v>240</x:v>
      </x:c>
      <x:c r="G439" t="n">
        <x:f>MIN($B$6,D439)*$B$7+MAX($B$6-D439,0)*$B$9-$B$6*$B$8</x:f>
        <x:v>320</x:v>
      </x:c>
      <x:c r="H439" t="n">
        <x:f>MAX(D439-$B$5,0)</x:f>
        <x:v>283</x:v>
      </x:c>
      <x:c r="I439" t="n">
        <x:f>MAX($B$5-D439,0)</x:f>
        <x:v>0</x:v>
      </x:c>
    </x:row>
    <x:row r="440">
      <x:c r="A440" t="n">
        <x:f>428</x:f>
        <x:v>428</x:v>
      </x:c>
      <x:c r="B440" t="n">
        <x:f>RAND()</x:f>
        <x:v>0.5743736291695458</x:v>
      </x:c>
      <x:c r="C440" t="n">
        <x:f>MIN(47,INT(B440*47)+1)</x:f>
        <x:v>27</x:v>
      </x:c>
      <x:c r="D440" t="n">
        <x:f>INDEX(Datos_47_semanas!$B$4:$B$50,C440)</x:f>
        <x:v>293</x:v>
      </x:c>
      <x:c r="E440" t="n">
        <x:f>MIN($B$4,D440)*$B$7+MAX($B$4-D440,0)*$B$9-$B$4*$B$8</x:f>
        <x:v>200</x:v>
      </x:c>
      <x:c r="F440" t="n">
        <x:f>MIN($B$5,D440)*$B$7+MAX($B$5-D440,0)*$B$9-$B$5*$B$8</x:f>
        <x:v>230.55</x:v>
      </x:c>
      <x:c r="G440" t="n">
        <x:f>MIN($B$6,D440)*$B$7+MAX($B$6-D440,0)*$B$9-$B$6*$B$8</x:f>
        <x:v>175.54999999999995</x:v>
      </x:c>
      <x:c r="H440" t="n">
        <x:f>MAX(D440-$B$5,0)</x:f>
        <x:v>0</x:v>
      </x:c>
      <x:c r="I440" t="n">
        <x:f>MAX($B$5-D440,0)</x:f>
        <x:v>7</x:v>
      </x:c>
    </x:row>
    <x:row r="441">
      <x:c r="A441" t="n">
        <x:f>429</x:f>
        <x:v>429</x:v>
      </x:c>
      <x:c r="B441" t="n">
        <x:f>RAND()</x:f>
        <x:v>0.4209675060123166</x:v>
      </x:c>
      <x:c r="C441" t="n">
        <x:f>MIN(47,INT(B441*47)+1)</x:f>
        <x:v>20</x:v>
      </x:c>
      <x:c r="D441" t="n">
        <x:f>INDEX(Datos_47_semanas!$B$4:$B$50,C441)</x:f>
        <x:v>335</x:v>
      </x:c>
      <x:c r="E441" t="n">
        <x:f>MIN($B$4,D441)*$B$7+MAX($B$4-D441,0)*$B$9-$B$4*$B$8</x:f>
        <x:v>200</x:v>
      </x:c>
      <x:c r="F441" t="n">
        <x:f>MIN($B$5,D441)*$B$7+MAX($B$5-D441,0)*$B$9-$B$5*$B$8</x:f>
        <x:v>240</x:v>
      </x:c>
      <x:c r="G441" t="n">
        <x:f>MIN($B$6,D441)*$B$7+MAX($B$6-D441,0)*$B$9-$B$6*$B$8</x:f>
        <x:v>232.25</x:v>
      </x:c>
      <x:c r="H441" t="n">
        <x:f>MAX(D441-$B$5,0)</x:f>
        <x:v>35</x:v>
      </x:c>
      <x:c r="I441" t="n">
        <x:f>MAX($B$5-D441,0)</x:f>
        <x:v>0</x:v>
      </x:c>
    </x:row>
    <x:row r="442">
      <x:c r="A442" t="n">
        <x:f>430</x:f>
        <x:v>430</x:v>
      </x:c>
      <x:c r="B442" t="n">
        <x:f>RAND()</x:f>
        <x:v>0.4533204139902023</x:v>
      </x:c>
      <x:c r="C442" t="n">
        <x:f>MIN(47,INT(B442*47)+1)</x:f>
        <x:v>22</x:v>
      </x:c>
      <x:c r="D442" t="n">
        <x:f>INDEX(Datos_47_semanas!$B$4:$B$50,C442)</x:f>
        <x:v>171</x:v>
      </x:c>
      <x:c r="E442" t="n">
        <x:f>MIN($B$4,D442)*$B$7+MAX($B$4-D442,0)*$B$9-$B$4*$B$8</x:f>
        <x:v>93.34999999999997</x:v>
      </x:c>
      <x:c r="F442" t="n">
        <x:f>MIN($B$5,D442)*$B$7+MAX($B$5-D442,0)*$B$9-$B$5*$B$8</x:f>
        <x:v>65.84999999999997</x:v>
      </x:c>
      <x:c r="G442" t="n">
        <x:f>MIN($B$6,D442)*$B$7+MAX($B$6-D442,0)*$B$9-$B$6*$B$8</x:f>
        <x:v>10.849999999999966</x:v>
      </x:c>
      <x:c r="H442" t="n">
        <x:f>MAX(D442-$B$5,0)</x:f>
        <x:v>0</x:v>
      </x:c>
      <x:c r="I442" t="n">
        <x:f>MAX($B$5-D442,0)</x:f>
        <x:v>129</x:v>
      </x:c>
    </x:row>
    <x:row r="443">
      <x:c r="A443" t="n">
        <x:f>431</x:f>
        <x:v>431</x:v>
      </x:c>
      <x:c r="B443" t="n">
        <x:f>RAND()</x:f>
        <x:v>0.6731869459782647</x:v>
      </x:c>
      <x:c r="C443" t="n">
        <x:f>MIN(47,INT(B443*47)+1)</x:f>
        <x:v>32</x:v>
      </x:c>
      <x:c r="D443" t="n">
        <x:f>INDEX(Datos_47_semanas!$B$4:$B$50,C443)</x:f>
        <x:v>575</x:v>
      </x:c>
      <x:c r="E443" t="n">
        <x:f>MIN($B$4,D443)*$B$7+MAX($B$4-D443,0)*$B$9-$B$4*$B$8</x:f>
        <x:v>200</x:v>
      </x:c>
      <x:c r="F443" t="n">
        <x:f>MIN($B$5,D443)*$B$7+MAX($B$5-D443,0)*$B$9-$B$5*$B$8</x:f>
        <x:v>240</x:v>
      </x:c>
      <x:c r="G443" t="n">
        <x:f>MIN($B$6,D443)*$B$7+MAX($B$6-D443,0)*$B$9-$B$6*$B$8</x:f>
        <x:v>320</x:v>
      </x:c>
      <x:c r="H443" t="n">
        <x:f>MAX(D443-$B$5,0)</x:f>
        <x:v>275</x:v>
      </x:c>
      <x:c r="I443" t="n">
        <x:f>MAX($B$5-D443,0)</x:f>
        <x:v>0</x:v>
      </x:c>
    </x:row>
    <x:row r="444">
      <x:c r="A444" t="n">
        <x:f>432</x:f>
        <x:v>432</x:v>
      </x:c>
      <x:c r="B444" t="n">
        <x:f>RAND()</x:f>
        <x:v>0.6178318351205164</x:v>
      </x:c>
      <x:c r="C444" t="n">
        <x:f>MIN(47,INT(B444*47)+1)</x:f>
        <x:v>30</x:v>
      </x:c>
      <x:c r="D444" t="n">
        <x:f>INDEX(Datos_47_semanas!$B$4:$B$50,C444)</x:f>
        <x:v>345</x:v>
      </x:c>
      <x:c r="E444" t="n">
        <x:f>MIN($B$4,D444)*$B$7+MAX($B$4-D444,0)*$B$9-$B$4*$B$8</x:f>
        <x:v>200</x:v>
      </x:c>
      <x:c r="F444" t="n">
        <x:f>MIN($B$5,D444)*$B$7+MAX($B$5-D444,0)*$B$9-$B$5*$B$8</x:f>
        <x:v>240</x:v>
      </x:c>
      <x:c r="G444" t="n">
        <x:f>MIN($B$6,D444)*$B$7+MAX($B$6-D444,0)*$B$9-$B$6*$B$8</x:f>
        <x:v>245.75</x:v>
      </x:c>
      <x:c r="H444" t="n">
        <x:f>MAX(D444-$B$5,0)</x:f>
        <x:v>45</x:v>
      </x:c>
      <x:c r="I444" t="n">
        <x:f>MAX($B$5-D444,0)</x:f>
        <x:v>0</x:v>
      </x:c>
    </x:row>
    <x:row r="445">
      <x:c r="A445" t="n">
        <x:f>433</x:f>
        <x:v>433</x:v>
      </x:c>
      <x:c r="B445" t="n">
        <x:f>RAND()</x:f>
        <x:v>0.5433313344180267</x:v>
      </x:c>
      <x:c r="C445" t="n">
        <x:f>MIN(47,INT(B445*47)+1)</x:f>
        <x:v>26</x:v>
      </x:c>
      <x:c r="D445" t="n">
        <x:f>INDEX(Datos_47_semanas!$B$4:$B$50,C445)</x:f>
        <x:v>183</x:v>
      </x:c>
      <x:c r="E445" t="n">
        <x:f>MIN($B$4,D445)*$B$7+MAX($B$4-D445,0)*$B$9-$B$4*$B$8</x:f>
        <x:v>109.55000000000001</x:v>
      </x:c>
      <x:c r="F445" t="n">
        <x:f>MIN($B$5,D445)*$B$7+MAX($B$5-D445,0)*$B$9-$B$5*$B$8</x:f>
        <x:v>82.05000000000001</x:v>
      </x:c>
      <x:c r="G445" t="n">
        <x:f>MIN($B$6,D445)*$B$7+MAX($B$6-D445,0)*$B$9-$B$6*$B$8</x:f>
        <x:v>27.049999999999955</x:v>
      </x:c>
      <x:c r="H445" t="n">
        <x:f>MAX(D445-$B$5,0)</x:f>
        <x:v>0</x:v>
      </x:c>
      <x:c r="I445" t="n">
        <x:f>MAX($B$5-D445,0)</x:f>
        <x:v>117</x:v>
      </x:c>
    </x:row>
    <x:row r="446">
      <x:c r="A446" t="n">
        <x:f>434</x:f>
        <x:v>434</x:v>
      </x:c>
      <x:c r="B446" t="n">
        <x:f>RAND()</x:f>
        <x:v>0.8701450001216715</x:v>
      </x:c>
      <x:c r="C446" t="n">
        <x:f>MIN(47,INT(B446*47)+1)</x:f>
        <x:v>41</x:v>
      </x:c>
      <x:c r="D446" t="n">
        <x:f>INDEX(Datos_47_semanas!$B$4:$B$50,C446)</x:f>
        <x:v>383</x:v>
      </x:c>
      <x:c r="E446" t="n">
        <x:f>MIN($B$4,D446)*$B$7+MAX($B$4-D446,0)*$B$9-$B$4*$B$8</x:f>
        <x:v>200</x:v>
      </x:c>
      <x:c r="F446" t="n">
        <x:f>MIN($B$5,D446)*$B$7+MAX($B$5-D446,0)*$B$9-$B$5*$B$8</x:f>
        <x:v>240</x:v>
      </x:c>
      <x:c r="G446" t="n">
        <x:f>MIN($B$6,D446)*$B$7+MAX($B$6-D446,0)*$B$9-$B$6*$B$8</x:f>
        <x:v>297.04999999999995</x:v>
      </x:c>
      <x:c r="H446" t="n">
        <x:f>MAX(D446-$B$5,0)</x:f>
        <x:v>83</x:v>
      </x:c>
      <x:c r="I446" t="n">
        <x:f>MAX($B$5-D446,0)</x:f>
        <x:v>0</x:v>
      </x:c>
    </x:row>
    <x:row r="447">
      <x:c r="A447" t="n">
        <x:f>435</x:f>
        <x:v>435</x:v>
      </x:c>
      <x:c r="B447" t="n">
        <x:f>RAND()</x:f>
        <x:v>0.6543227409860938</x:v>
      </x:c>
      <x:c r="C447" t="n">
        <x:f>MIN(47,INT(B447*47)+1)</x:f>
        <x:v>31</x:v>
      </x:c>
      <x:c r="D447" t="n">
        <x:f>INDEX(Datos_47_semanas!$B$4:$B$50,C447)</x:f>
        <x:v>583</x:v>
      </x:c>
      <x:c r="E447" t="n">
        <x:f>MIN($B$4,D447)*$B$7+MAX($B$4-D447,0)*$B$9-$B$4*$B$8</x:f>
        <x:v>200</x:v>
      </x:c>
      <x:c r="F447" t="n">
        <x:f>MIN($B$5,D447)*$B$7+MAX($B$5-D447,0)*$B$9-$B$5*$B$8</x:f>
        <x:v>240</x:v>
      </x:c>
      <x:c r="G447" t="n">
        <x:f>MIN($B$6,D447)*$B$7+MAX($B$6-D447,0)*$B$9-$B$6*$B$8</x:f>
        <x:v>320</x:v>
      </x:c>
      <x:c r="H447" t="n">
        <x:f>MAX(D447-$B$5,0)</x:f>
        <x:v>283</x:v>
      </x:c>
      <x:c r="I447" t="n">
        <x:f>MAX($B$5-D447,0)</x:f>
        <x:v>0</x:v>
      </x:c>
    </x:row>
    <x:row r="448">
      <x:c r="A448" t="n">
        <x:f>436</x:f>
        <x:v>436</x:v>
      </x:c>
      <x:c r="B448" t="n">
        <x:f>RAND()</x:f>
        <x:v>0.792933872507636</x:v>
      </x:c>
      <x:c r="C448" t="n">
        <x:f>MIN(47,INT(B448*47)+1)</x:f>
        <x:v>38</x:v>
      </x:c>
      <x:c r="D448" t="n">
        <x:f>INDEX(Datos_47_semanas!$B$4:$B$50,C448)</x:f>
        <x:v>212</x:v>
      </x:c>
      <x:c r="E448" t="n">
        <x:f>MIN($B$4,D448)*$B$7+MAX($B$4-D448,0)*$B$9-$B$4*$B$8</x:f>
        <x:v>148.69999999999993</x:v>
      </x:c>
      <x:c r="F448" t="n">
        <x:f>MIN($B$5,D448)*$B$7+MAX($B$5-D448,0)*$B$9-$B$5*$B$8</x:f>
        <x:v>121.19999999999993</x:v>
      </x:c>
      <x:c r="G448" t="n">
        <x:f>MIN($B$6,D448)*$B$7+MAX($B$6-D448,0)*$B$9-$B$6*$B$8</x:f>
        <x:v>66.19999999999993</x:v>
      </x:c>
      <x:c r="H448" t="n">
        <x:f>MAX(D448-$B$5,0)</x:f>
        <x:v>0</x:v>
      </x:c>
      <x:c r="I448" t="n">
        <x:f>MAX($B$5-D448,0)</x:f>
        <x:v>88</x:v>
      </x:c>
    </x:row>
    <x:row r="449">
      <x:c r="A449" t="n">
        <x:f>437</x:f>
        <x:v>437</x:v>
      </x:c>
      <x:c r="B449" t="n">
        <x:f>RAND()</x:f>
        <x:v>0.024171473944806343</x:v>
      </x:c>
      <x:c r="C449" t="n">
        <x:f>MIN(47,INT(B449*47)+1)</x:f>
        <x:v>2</x:v>
      </x:c>
      <x:c r="D449" t="n">
        <x:f>INDEX(Datos_47_semanas!$B$4:$B$50,C449)</x:f>
        <x:v>282</x:v>
      </x:c>
      <x:c r="E449" t="n">
        <x:f>MIN($B$4,D449)*$B$7+MAX($B$4-D449,0)*$B$9-$B$4*$B$8</x:f>
        <x:v>200</x:v>
      </x:c>
      <x:c r="F449" t="n">
        <x:f>MIN($B$5,D449)*$B$7+MAX($B$5-D449,0)*$B$9-$B$5*$B$8</x:f>
        <x:v>215.69999999999993</x:v>
      </x:c>
      <x:c r="G449" t="n">
        <x:f>MIN($B$6,D449)*$B$7+MAX($B$6-D449,0)*$B$9-$B$6*$B$8</x:f>
        <x:v>160.69999999999993</x:v>
      </x:c>
      <x:c r="H449" t="n">
        <x:f>MAX(D449-$B$5,0)</x:f>
        <x:v>0</x:v>
      </x:c>
      <x:c r="I449" t="n">
        <x:f>MAX($B$5-D449,0)</x:f>
        <x:v>18</x:v>
      </x:c>
    </x:row>
    <x:row r="450">
      <x:c r="A450" t="n">
        <x:f>438</x:f>
        <x:v>438</x:v>
      </x:c>
      <x:c r="B450" t="n">
        <x:f>RAND()</x:f>
        <x:v>0.3182711387061913</x:v>
      </x:c>
      <x:c r="C450" t="n">
        <x:f>MIN(47,INT(B450*47)+1)</x:f>
        <x:v>15</x:v>
      </x:c>
      <x:c r="D450" t="n">
        <x:f>INDEX(Datos_47_semanas!$B$4:$B$50,C450)</x:f>
        <x:v>275</x:v>
      </x:c>
      <x:c r="E450" t="n">
        <x:f>MIN($B$4,D450)*$B$7+MAX($B$4-D450,0)*$B$9-$B$4*$B$8</x:f>
        <x:v>200</x:v>
      </x:c>
      <x:c r="F450" t="n">
        <x:f>MIN($B$5,D450)*$B$7+MAX($B$5-D450,0)*$B$9-$B$5*$B$8</x:f>
        <x:v>206.25</x:v>
      </x:c>
      <x:c r="G450" t="n">
        <x:f>MIN($B$6,D450)*$B$7+MAX($B$6-D450,0)*$B$9-$B$6*$B$8</x:f>
        <x:v>151.25</x:v>
      </x:c>
      <x:c r="H450" t="n">
        <x:f>MAX(D450-$B$5,0)</x:f>
        <x:v>0</x:v>
      </x:c>
      <x:c r="I450" t="n">
        <x:f>MAX($B$5-D450,0)</x:f>
        <x:v>25</x:v>
      </x:c>
    </x:row>
    <x:row r="451">
      <x:c r="A451" t="n">
        <x:f>439</x:f>
        <x:v>439</x:v>
      </x:c>
      <x:c r="B451" t="n">
        <x:f>RAND()</x:f>
        <x:v>0.5374463999820076</x:v>
      </x:c>
      <x:c r="C451" t="n">
        <x:f>MIN(47,INT(B451*47)+1)</x:f>
        <x:v>26</x:v>
      </x:c>
      <x:c r="D451" t="n">
        <x:f>INDEX(Datos_47_semanas!$B$4:$B$50,C451)</x:f>
        <x:v>183</x:v>
      </x:c>
      <x:c r="E451" t="n">
        <x:f>MIN($B$4,D451)*$B$7+MAX($B$4-D451,0)*$B$9-$B$4*$B$8</x:f>
        <x:v>109.55000000000001</x:v>
      </x:c>
      <x:c r="F451" t="n">
        <x:f>MIN($B$5,D451)*$B$7+MAX($B$5-D451,0)*$B$9-$B$5*$B$8</x:f>
        <x:v>82.05000000000001</x:v>
      </x:c>
      <x:c r="G451" t="n">
        <x:f>MIN($B$6,D451)*$B$7+MAX($B$6-D451,0)*$B$9-$B$6*$B$8</x:f>
        <x:v>27.049999999999955</x:v>
      </x:c>
      <x:c r="H451" t="n">
        <x:f>MAX(D451-$B$5,0)</x:f>
        <x:v>0</x:v>
      </x:c>
      <x:c r="I451" t="n">
        <x:f>MAX($B$5-D451,0)</x:f>
        <x:v>117</x:v>
      </x:c>
    </x:row>
    <x:row r="452">
      <x:c r="A452" t="n">
        <x:f>440</x:f>
        <x:v>440</x:v>
      </x:c>
      <x:c r="B452" t="n">
        <x:f>RAND()</x:f>
        <x:v>0.14413030811564986</x:v>
      </x:c>
      <x:c r="C452" t="n">
        <x:f>MIN(47,INT(B452*47)+1)</x:f>
        <x:v>7</x:v>
      </x:c>
      <x:c r="D452" t="n">
        <x:f>INDEX(Datos_47_semanas!$B$4:$B$50,C452)</x:f>
        <x:v>249</x:v>
      </x:c>
      <x:c r="E452" t="n">
        <x:f>MIN($B$4,D452)*$B$7+MAX($B$4-D452,0)*$B$9-$B$4*$B$8</x:f>
        <x:v>198.64999999999998</x:v>
      </x:c>
      <x:c r="F452" t="n">
        <x:f>MIN($B$5,D452)*$B$7+MAX($B$5-D452,0)*$B$9-$B$5*$B$8</x:f>
        <x:v>171.14999999999998</x:v>
      </x:c>
      <x:c r="G452" t="n">
        <x:f>MIN($B$6,D452)*$B$7+MAX($B$6-D452,0)*$B$9-$B$6*$B$8</x:f>
        <x:v>116.14999999999998</x:v>
      </x:c>
      <x:c r="H452" t="n">
        <x:f>MAX(D452-$B$5,0)</x:f>
        <x:v>0</x:v>
      </x:c>
      <x:c r="I452" t="n">
        <x:f>MAX($B$5-D452,0)</x:f>
        <x:v>51</x:v>
      </x:c>
    </x:row>
    <x:row r="453">
      <x:c r="A453" t="n">
        <x:f>441</x:f>
        <x:v>441</x:v>
      </x:c>
      <x:c r="B453" t="n">
        <x:f>RAND()</x:f>
        <x:v>0.46311421838923705</x:v>
      </x:c>
      <x:c r="C453" t="n">
        <x:f>MIN(47,INT(B453*47)+1)</x:f>
        <x:v>22</x:v>
      </x:c>
      <x:c r="D453" t="n">
        <x:f>INDEX(Datos_47_semanas!$B$4:$B$50,C453)</x:f>
        <x:v>171</x:v>
      </x:c>
      <x:c r="E453" t="n">
        <x:f>MIN($B$4,D453)*$B$7+MAX($B$4-D453,0)*$B$9-$B$4*$B$8</x:f>
        <x:v>93.34999999999997</x:v>
      </x:c>
      <x:c r="F453" t="n">
        <x:f>MIN($B$5,D453)*$B$7+MAX($B$5-D453,0)*$B$9-$B$5*$B$8</x:f>
        <x:v>65.84999999999997</x:v>
      </x:c>
      <x:c r="G453" t="n">
        <x:f>MIN($B$6,D453)*$B$7+MAX($B$6-D453,0)*$B$9-$B$6*$B$8</x:f>
        <x:v>10.849999999999966</x:v>
      </x:c>
      <x:c r="H453" t="n">
        <x:f>MAX(D453-$B$5,0)</x:f>
        <x:v>0</x:v>
      </x:c>
      <x:c r="I453" t="n">
        <x:f>MAX($B$5-D453,0)</x:f>
        <x:v>129</x:v>
      </x:c>
    </x:row>
    <x:row r="454">
      <x:c r="A454" t="n">
        <x:f>442</x:f>
        <x:v>442</x:v>
      </x:c>
      <x:c r="B454" t="n">
        <x:f>RAND()</x:f>
        <x:v>0.9103936147246275</x:v>
      </x:c>
      <x:c r="C454" t="n">
        <x:f>MIN(47,INT(B454*47)+1)</x:f>
        <x:v>43</x:v>
      </x:c>
      <x:c r="D454" t="n">
        <x:f>INDEX(Datos_47_semanas!$B$4:$B$50,C454)</x:f>
        <x:v>234</x:v>
      </x:c>
      <x:c r="E454" t="n">
        <x:f>MIN($B$4,D454)*$B$7+MAX($B$4-D454,0)*$B$9-$B$4*$B$8</x:f>
        <x:v>178.39999999999998</x:v>
      </x:c>
      <x:c r="F454" t="n">
        <x:f>MIN($B$5,D454)*$B$7+MAX($B$5-D454,0)*$B$9-$B$5*$B$8</x:f>
        <x:v>150.89999999999998</x:v>
      </x:c>
      <x:c r="G454" t="n">
        <x:f>MIN($B$6,D454)*$B$7+MAX($B$6-D454,0)*$B$9-$B$6*$B$8</x:f>
        <x:v>95.89999999999998</x:v>
      </x:c>
      <x:c r="H454" t="n">
        <x:f>MAX(D454-$B$5,0)</x:f>
        <x:v>0</x:v>
      </x:c>
      <x:c r="I454" t="n">
        <x:f>MAX($B$5-D454,0)</x:f>
        <x:v>66</x:v>
      </x:c>
    </x:row>
    <x:row r="455">
      <x:c r="A455" t="n">
        <x:f>443</x:f>
        <x:v>443</x:v>
      </x:c>
      <x:c r="B455" t="n">
        <x:f>RAND()</x:f>
        <x:v>0.7513374996486573</x:v>
      </x:c>
      <x:c r="C455" t="n">
        <x:f>MIN(47,INT(B455*47)+1)</x:f>
        <x:v>36</x:v>
      </x:c>
      <x:c r="D455" t="n">
        <x:f>INDEX(Datos_47_semanas!$B$4:$B$50,C455)</x:f>
        <x:v>304</x:v>
      </x:c>
      <x:c r="E455" t="n">
        <x:f>MIN($B$4,D455)*$B$7+MAX($B$4-D455,0)*$B$9-$B$4*$B$8</x:f>
        <x:v>200</x:v>
      </x:c>
      <x:c r="F455" t="n">
        <x:f>MIN($B$5,D455)*$B$7+MAX($B$5-D455,0)*$B$9-$B$5*$B$8</x:f>
        <x:v>240</x:v>
      </x:c>
      <x:c r="G455" t="n">
        <x:f>MIN($B$6,D455)*$B$7+MAX($B$6-D455,0)*$B$9-$B$6*$B$8</x:f>
        <x:v>190.39999999999998</x:v>
      </x:c>
      <x:c r="H455" t="n">
        <x:f>MAX(D455-$B$5,0)</x:f>
        <x:v>4</x:v>
      </x:c>
      <x:c r="I455" t="n">
        <x:f>MAX($B$5-D455,0)</x:f>
        <x:v>0</x:v>
      </x:c>
    </x:row>
    <x:row r="456">
      <x:c r="A456" t="n">
        <x:f>444</x:f>
        <x:v>444</x:v>
      </x:c>
      <x:c r="B456" t="n">
        <x:f>RAND()</x:f>
        <x:v>0.05284641318039007</x:v>
      </x:c>
      <x:c r="C456" t="n">
        <x:f>MIN(47,INT(B456*47)+1)</x:f>
        <x:v>3</x:v>
      </x:c>
      <x:c r="D456" t="n">
        <x:f>INDEX(Datos_47_semanas!$B$4:$B$50,C456)</x:f>
        <x:v>128</x:v>
      </x:c>
      <x:c r="E456" t="n">
        <x:f>MIN($B$4,D456)*$B$7+MAX($B$4-D456,0)*$B$9-$B$4*$B$8</x:f>
        <x:v>35.29999999999998</x:v>
      </x:c>
      <x:c r="F456" t="n">
        <x:f>MIN($B$5,D456)*$B$7+MAX($B$5-D456,0)*$B$9-$B$5*$B$8</x:f>
        <x:v>7.800000000000011</x:v>
      </x:c>
      <x:c r="G456" t="n">
        <x:f>MIN($B$6,D456)*$B$7+MAX($B$6-D456,0)*$B$9-$B$6*$B$8</x:f>
        <x:v>-47.200000000000045</x:v>
      </x:c>
      <x:c r="H456" t="n">
        <x:f>MAX(D456-$B$5,0)</x:f>
        <x:v>0</x:v>
      </x:c>
      <x:c r="I456" t="n">
        <x:f>MAX($B$5-D456,0)</x:f>
        <x:v>172</x:v>
      </x:c>
    </x:row>
    <x:row r="457">
      <x:c r="A457" t="n">
        <x:f>445</x:f>
        <x:v>445</x:v>
      </x:c>
      <x:c r="B457" t="n">
        <x:f>RAND()</x:f>
        <x:v>0.9417395448918178</x:v>
      </x:c>
      <x:c r="C457" t="n">
        <x:f>MIN(47,INT(B457*47)+1)</x:f>
        <x:v>45</x:v>
      </x:c>
      <x:c r="D457" t="n">
        <x:f>INDEX(Datos_47_semanas!$B$4:$B$50,C457)</x:f>
        <x:v>526</x:v>
      </x:c>
      <x:c r="E457" t="n">
        <x:f>MIN($B$4,D457)*$B$7+MAX($B$4-D457,0)*$B$9-$B$4*$B$8</x:f>
        <x:v>200</x:v>
      </x:c>
      <x:c r="F457" t="n">
        <x:f>MIN($B$5,D457)*$B$7+MAX($B$5-D457,0)*$B$9-$B$5*$B$8</x:f>
        <x:v>240</x:v>
      </x:c>
      <x:c r="G457" t="n">
        <x:f>MIN($B$6,D457)*$B$7+MAX($B$6-D457,0)*$B$9-$B$6*$B$8</x:f>
        <x:v>320</x:v>
      </x:c>
      <x:c r="H457" t="n">
        <x:f>MAX(D457-$B$5,0)</x:f>
        <x:v>226</x:v>
      </x:c>
      <x:c r="I457" t="n">
        <x:f>MAX($B$5-D457,0)</x:f>
        <x:v>0</x:v>
      </x:c>
    </x:row>
    <x:row r="458">
      <x:c r="A458" t="n">
        <x:f>446</x:f>
        <x:v>446</x:v>
      </x:c>
      <x:c r="B458" t="n">
        <x:f>RAND()</x:f>
        <x:v>0.7998098752699475</x:v>
      </x:c>
      <x:c r="C458" t="n">
        <x:f>MIN(47,INT(B458*47)+1)</x:f>
        <x:v>38</x:v>
      </x:c>
      <x:c r="D458" t="n">
        <x:f>INDEX(Datos_47_semanas!$B$4:$B$50,C458)</x:f>
        <x:v>212</x:v>
      </x:c>
      <x:c r="E458" t="n">
        <x:f>MIN($B$4,D458)*$B$7+MAX($B$4-D458,0)*$B$9-$B$4*$B$8</x:f>
        <x:v>148.69999999999993</x:v>
      </x:c>
      <x:c r="F458" t="n">
        <x:f>MIN($B$5,D458)*$B$7+MAX($B$5-D458,0)*$B$9-$B$5*$B$8</x:f>
        <x:v>121.19999999999993</x:v>
      </x:c>
      <x:c r="G458" t="n">
        <x:f>MIN($B$6,D458)*$B$7+MAX($B$6-D458,0)*$B$9-$B$6*$B$8</x:f>
        <x:v>66.19999999999993</x:v>
      </x:c>
      <x:c r="H458" t="n">
        <x:f>MAX(D458-$B$5,0)</x:f>
        <x:v>0</x:v>
      </x:c>
      <x:c r="I458" t="n">
        <x:f>MAX($B$5-D458,0)</x:f>
        <x:v>88</x:v>
      </x:c>
    </x:row>
    <x:row r="459">
      <x:c r="A459" t="n">
        <x:f>447</x:f>
        <x:v>447</x:v>
      </x:c>
      <x:c r="B459" t="n">
        <x:f>RAND()</x:f>
        <x:v>0.11105635992355312</x:v>
      </x:c>
      <x:c r="C459" t="n">
        <x:f>MIN(47,INT(B459*47)+1)</x:f>
        <x:v>6</x:v>
      </x:c>
      <x:c r="D459" t="n">
        <x:f>INDEX(Datos_47_semanas!$B$4:$B$50,C459)</x:f>
        <x:v>155</x:v>
      </x:c>
      <x:c r="E459" t="n">
        <x:f>MIN($B$4,D459)*$B$7+MAX($B$4-D459,0)*$B$9-$B$4*$B$8</x:f>
        <x:v>71.75</x:v>
      </x:c>
      <x:c r="F459" t="n">
        <x:f>MIN($B$5,D459)*$B$7+MAX($B$5-D459,0)*$B$9-$B$5*$B$8</x:f>
        <x:v>44.25</x:v>
      </x:c>
      <x:c r="G459" t="n">
        <x:f>MIN($B$6,D459)*$B$7+MAX($B$6-D459,0)*$B$9-$B$6*$B$8</x:f>
        <x:v>-10.75</x:v>
      </x:c>
      <x:c r="H459" t="n">
        <x:f>MAX(D459-$B$5,0)</x:f>
        <x:v>0</x:v>
      </x:c>
      <x:c r="I459" t="n">
        <x:f>MAX($B$5-D459,0)</x:f>
        <x:v>145</x:v>
      </x:c>
    </x:row>
    <x:row r="460">
      <x:c r="A460" t="n">
        <x:f>448</x:f>
        <x:v>448</x:v>
      </x:c>
      <x:c r="B460" t="n">
        <x:f>RAND()</x:f>
        <x:v>0.3664359819197798</x:v>
      </x:c>
      <x:c r="C460" t="n">
        <x:f>MIN(47,INT(B460*47)+1)</x:f>
        <x:v>18</x:v>
      </x:c>
      <x:c r="D460" t="n">
        <x:f>INDEX(Datos_47_semanas!$B$4:$B$50,C460)</x:f>
        <x:v>219</x:v>
      </x:c>
      <x:c r="E460" t="n">
        <x:f>MIN($B$4,D460)*$B$7+MAX($B$4-D460,0)*$B$9-$B$4*$B$8</x:f>
        <x:v>158.14999999999998</x:v>
      </x:c>
      <x:c r="F460" t="n">
        <x:f>MIN($B$5,D460)*$B$7+MAX($B$5-D460,0)*$B$9-$B$5*$B$8</x:f>
        <x:v>130.64999999999998</x:v>
      </x:c>
      <x:c r="G460" t="n">
        <x:f>MIN($B$6,D460)*$B$7+MAX($B$6-D460,0)*$B$9-$B$6*$B$8</x:f>
        <x:v>75.64999999999998</x:v>
      </x:c>
      <x:c r="H460" t="n">
        <x:f>MAX(D460-$B$5,0)</x:f>
        <x:v>0</x:v>
      </x:c>
      <x:c r="I460" t="n">
        <x:f>MAX($B$5-D460,0)</x:f>
        <x:v>81</x:v>
      </x:c>
    </x:row>
    <x:row r="461">
      <x:c r="A461" t="n">
        <x:f>449</x:f>
        <x:v>449</x:v>
      </x:c>
      <x:c r="B461" t="n">
        <x:f>RAND()</x:f>
        <x:v>0.0532521125175025</x:v>
      </x:c>
      <x:c r="C461" t="n">
        <x:f>MIN(47,INT(B461*47)+1)</x:f>
        <x:v>3</x:v>
      </x:c>
      <x:c r="D461" t="n">
        <x:f>INDEX(Datos_47_semanas!$B$4:$B$50,C461)</x:f>
        <x:v>128</x:v>
      </x:c>
      <x:c r="E461" t="n">
        <x:f>MIN($B$4,D461)*$B$7+MAX($B$4-D461,0)*$B$9-$B$4*$B$8</x:f>
        <x:v>35.29999999999998</x:v>
      </x:c>
      <x:c r="F461" t="n">
        <x:f>MIN($B$5,D461)*$B$7+MAX($B$5-D461,0)*$B$9-$B$5*$B$8</x:f>
        <x:v>7.800000000000011</x:v>
      </x:c>
      <x:c r="G461" t="n">
        <x:f>MIN($B$6,D461)*$B$7+MAX($B$6-D461,0)*$B$9-$B$6*$B$8</x:f>
        <x:v>-47.200000000000045</x:v>
      </x:c>
      <x:c r="H461" t="n">
        <x:f>MAX(D461-$B$5,0)</x:f>
        <x:v>0</x:v>
      </x:c>
      <x:c r="I461" t="n">
        <x:f>MAX($B$5-D461,0)</x:f>
        <x:v>172</x:v>
      </x:c>
    </x:row>
    <x:row r="462">
      <x:c r="A462" t="n">
        <x:f>450</x:f>
        <x:v>450</x:v>
      </x:c>
      <x:c r="B462" t="n">
        <x:f>RAND()</x:f>
        <x:v>0.008847794246944818</x:v>
      </x:c>
      <x:c r="C462" t="n">
        <x:f>MIN(47,INT(B462*47)+1)</x:f>
        <x:v>1</x:v>
      </x:c>
      <x:c r="D462" t="n">
        <x:f>INDEX(Datos_47_semanas!$B$4:$B$50,C462)</x:f>
        <x:v>418</x:v>
      </x:c>
      <x:c r="E462" t="n">
        <x:f>MIN($B$4,D462)*$B$7+MAX($B$4-D462,0)*$B$9-$B$4*$B$8</x:f>
        <x:v>200</x:v>
      </x:c>
      <x:c r="F462" t="n">
        <x:f>MIN($B$5,D462)*$B$7+MAX($B$5-D462,0)*$B$9-$B$5*$B$8</x:f>
        <x:v>240</x:v>
      </x:c>
      <x:c r="G462" t="n">
        <x:f>MIN($B$6,D462)*$B$7+MAX($B$6-D462,0)*$B$9-$B$6*$B$8</x:f>
        <x:v>320</x:v>
      </x:c>
      <x:c r="H462" t="n">
        <x:f>MAX(D462-$B$5,0)</x:f>
        <x:v>118</x:v>
      </x:c>
      <x:c r="I462" t="n">
        <x:f>MAX($B$5-D462,0)</x:f>
        <x:v>0</x:v>
      </x:c>
    </x:row>
    <x:row r="463">
      <x:c r="A463" t="n">
        <x:f>451</x:f>
        <x:v>451</x:v>
      </x:c>
      <x:c r="B463" t="n">
        <x:f>RAND()</x:f>
        <x:v>0.8593993964109702</x:v>
      </x:c>
      <x:c r="C463" t="n">
        <x:f>MIN(47,INT(B463*47)+1)</x:f>
        <x:v>41</x:v>
      </x:c>
      <x:c r="D463" t="n">
        <x:f>INDEX(Datos_47_semanas!$B$4:$B$50,C463)</x:f>
        <x:v>383</x:v>
      </x:c>
      <x:c r="E463" t="n">
        <x:f>MIN($B$4,D463)*$B$7+MAX($B$4-D463,0)*$B$9-$B$4*$B$8</x:f>
        <x:v>200</x:v>
      </x:c>
      <x:c r="F463" t="n">
        <x:f>MIN($B$5,D463)*$B$7+MAX($B$5-D463,0)*$B$9-$B$5*$B$8</x:f>
        <x:v>240</x:v>
      </x:c>
      <x:c r="G463" t="n">
        <x:f>MIN($B$6,D463)*$B$7+MAX($B$6-D463,0)*$B$9-$B$6*$B$8</x:f>
        <x:v>297.04999999999995</x:v>
      </x:c>
      <x:c r="H463" t="n">
        <x:f>MAX(D463-$B$5,0)</x:f>
        <x:v>83</x:v>
      </x:c>
      <x:c r="I463" t="n">
        <x:f>MAX($B$5-D463,0)</x:f>
        <x:v>0</x:v>
      </x:c>
    </x:row>
    <x:row r="464">
      <x:c r="A464" t="n">
        <x:f>452</x:f>
        <x:v>452</x:v>
      </x:c>
      <x:c r="B464" t="n">
        <x:f>RAND()</x:f>
        <x:v>0.4880858735437249</x:v>
      </x:c>
      <x:c r="C464" t="n">
        <x:f>MIN(47,INT(B464*47)+1)</x:f>
        <x:v>23</x:v>
      </x:c>
      <x:c r="D464" t="n">
        <x:f>INDEX(Datos_47_semanas!$B$4:$B$50,C464)</x:f>
        <x:v>565</x:v>
      </x:c>
      <x:c r="E464" t="n">
        <x:f>MIN($B$4,D464)*$B$7+MAX($B$4-D464,0)*$B$9-$B$4*$B$8</x:f>
        <x:v>200</x:v>
      </x:c>
      <x:c r="F464" t="n">
        <x:f>MIN($B$5,D464)*$B$7+MAX($B$5-D464,0)*$B$9-$B$5*$B$8</x:f>
        <x:v>240</x:v>
      </x:c>
      <x:c r="G464" t="n">
        <x:f>MIN($B$6,D464)*$B$7+MAX($B$6-D464,0)*$B$9-$B$6*$B$8</x:f>
        <x:v>320</x:v>
      </x:c>
      <x:c r="H464" t="n">
        <x:f>MAX(D464-$B$5,0)</x:f>
        <x:v>265</x:v>
      </x:c>
      <x:c r="I464" t="n">
        <x:f>MAX($B$5-D464,0)</x:f>
        <x:v>0</x:v>
      </x:c>
    </x:row>
    <x:row r="465">
      <x:c r="A465" t="n">
        <x:f>453</x:f>
        <x:v>453</x:v>
      </x:c>
      <x:c r="B465" t="n">
        <x:f>RAND()</x:f>
        <x:v>0.5401003092119285</x:v>
      </x:c>
      <x:c r="C465" t="n">
        <x:f>MIN(47,INT(B465*47)+1)</x:f>
        <x:v>26</x:v>
      </x:c>
      <x:c r="D465" t="n">
        <x:f>INDEX(Datos_47_semanas!$B$4:$B$50,C465)</x:f>
        <x:v>183</x:v>
      </x:c>
      <x:c r="E465" t="n">
        <x:f>MIN($B$4,D465)*$B$7+MAX($B$4-D465,0)*$B$9-$B$4*$B$8</x:f>
        <x:v>109.55000000000001</x:v>
      </x:c>
      <x:c r="F465" t="n">
        <x:f>MIN($B$5,D465)*$B$7+MAX($B$5-D465,0)*$B$9-$B$5*$B$8</x:f>
        <x:v>82.05000000000001</x:v>
      </x:c>
      <x:c r="G465" t="n">
        <x:f>MIN($B$6,D465)*$B$7+MAX($B$6-D465,0)*$B$9-$B$6*$B$8</x:f>
        <x:v>27.049999999999955</x:v>
      </x:c>
      <x:c r="H465" t="n">
        <x:f>MAX(D465-$B$5,0)</x:f>
        <x:v>0</x:v>
      </x:c>
      <x:c r="I465" t="n">
        <x:f>MAX($B$5-D465,0)</x:f>
        <x:v>117</x:v>
      </x:c>
    </x:row>
    <x:row r="466">
      <x:c r="A466" t="n">
        <x:f>454</x:f>
        <x:v>454</x:v>
      </x:c>
      <x:c r="B466" t="n">
        <x:f>RAND()</x:f>
        <x:v>0.20052584886551217</x:v>
      </x:c>
      <x:c r="C466" t="n">
        <x:f>MIN(47,INT(B466*47)+1)</x:f>
        <x:v>10</x:v>
      </x:c>
      <x:c r="D466" t="n">
        <x:f>INDEX(Datos_47_semanas!$B$4:$B$50,C466)</x:f>
        <x:v>98</x:v>
      </x:c>
      <x:c r="E466" t="n">
        <x:f>MIN($B$4,D466)*$B$7+MAX($B$4-D466,0)*$B$9-$B$4*$B$8</x:f>
        <x:v>-5.200000000000017</x:v>
      </x:c>
      <x:c r="F466" t="n">
        <x:f>MIN($B$5,D466)*$B$7+MAX($B$5-D466,0)*$B$9-$B$5*$B$8</x:f>
        <x:v>-32.70000000000002</x:v>
      </x:c>
      <x:c r="G466" t="n">
        <x:f>MIN($B$6,D466)*$B$7+MAX($B$6-D466,0)*$B$9-$B$6*$B$8</x:f>
        <x:v>-87.70000000000002</x:v>
      </x:c>
      <x:c r="H466" t="n">
        <x:f>MAX(D466-$B$5,0)</x:f>
        <x:v>0</x:v>
      </x:c>
      <x:c r="I466" t="n">
        <x:f>MAX($B$5-D466,0)</x:f>
        <x:v>202</x:v>
      </x:c>
    </x:row>
    <x:row r="467">
      <x:c r="A467" t="n">
        <x:f>455</x:f>
        <x:v>455</x:v>
      </x:c>
      <x:c r="B467" t="n">
        <x:f>RAND()</x:f>
        <x:v>0.26614011728893217</x:v>
      </x:c>
      <x:c r="C467" t="n">
        <x:f>MIN(47,INT(B467*47)+1)</x:f>
        <x:v>13</x:v>
      </x:c>
      <x:c r="D467" t="n">
        <x:f>INDEX(Datos_47_semanas!$B$4:$B$50,C467)</x:f>
        <x:v>517</x:v>
      </x:c>
      <x:c r="E467" t="n">
        <x:f>MIN($B$4,D467)*$B$7+MAX($B$4-D467,0)*$B$9-$B$4*$B$8</x:f>
        <x:v>200</x:v>
      </x:c>
      <x:c r="F467" t="n">
        <x:f>MIN($B$5,D467)*$B$7+MAX($B$5-D467,0)*$B$9-$B$5*$B$8</x:f>
        <x:v>240</x:v>
      </x:c>
      <x:c r="G467" t="n">
        <x:f>MIN($B$6,D467)*$B$7+MAX($B$6-D467,0)*$B$9-$B$6*$B$8</x:f>
        <x:v>320</x:v>
      </x:c>
      <x:c r="H467" t="n">
        <x:f>MAX(D467-$B$5,0)</x:f>
        <x:v>217</x:v>
      </x:c>
      <x:c r="I467" t="n">
        <x:f>MAX($B$5-D467,0)</x:f>
        <x:v>0</x:v>
      </x:c>
    </x:row>
    <x:row r="468">
      <x:c r="A468" t="n">
        <x:f>456</x:f>
        <x:v>456</x:v>
      </x:c>
      <x:c r="B468" t="n">
        <x:f>RAND()</x:f>
        <x:v>0.612991446857714</x:v>
      </x:c>
      <x:c r="C468" t="n">
        <x:f>MIN(47,INT(B468*47)+1)</x:f>
        <x:v>29</x:v>
      </x:c>
      <x:c r="D468" t="n">
        <x:f>INDEX(Datos_47_semanas!$B$4:$B$50,C468)</x:f>
        <x:v>415</x:v>
      </x:c>
      <x:c r="E468" t="n">
        <x:f>MIN($B$4,D468)*$B$7+MAX($B$4-D468,0)*$B$9-$B$4*$B$8</x:f>
        <x:v>200</x:v>
      </x:c>
      <x:c r="F468" t="n">
        <x:f>MIN($B$5,D468)*$B$7+MAX($B$5-D468,0)*$B$9-$B$5*$B$8</x:f>
        <x:v>240</x:v>
      </x:c>
      <x:c r="G468" t="n">
        <x:f>MIN($B$6,D468)*$B$7+MAX($B$6-D468,0)*$B$9-$B$6*$B$8</x:f>
        <x:v>320</x:v>
      </x:c>
      <x:c r="H468" t="n">
        <x:f>MAX(D468-$B$5,0)</x:f>
        <x:v>115</x:v>
      </x:c>
      <x:c r="I468" t="n">
        <x:f>MAX($B$5-D468,0)</x:f>
        <x:v>0</x:v>
      </x:c>
    </x:row>
    <x:row r="469">
      <x:c r="A469" t="n">
        <x:f>457</x:f>
        <x:v>457</x:v>
      </x:c>
      <x:c r="B469" t="n">
        <x:f>RAND()</x:f>
        <x:v>0.5504678344358939</x:v>
      </x:c>
      <x:c r="C469" t="n">
        <x:f>MIN(47,INT(B469*47)+1)</x:f>
        <x:v>26</x:v>
      </x:c>
      <x:c r="D469" t="n">
        <x:f>INDEX(Datos_47_semanas!$B$4:$B$50,C469)</x:f>
        <x:v>183</x:v>
      </x:c>
      <x:c r="E469" t="n">
        <x:f>MIN($B$4,D469)*$B$7+MAX($B$4-D469,0)*$B$9-$B$4*$B$8</x:f>
        <x:v>109.55000000000001</x:v>
      </x:c>
      <x:c r="F469" t="n">
        <x:f>MIN($B$5,D469)*$B$7+MAX($B$5-D469,0)*$B$9-$B$5*$B$8</x:f>
        <x:v>82.05000000000001</x:v>
      </x:c>
      <x:c r="G469" t="n">
        <x:f>MIN($B$6,D469)*$B$7+MAX($B$6-D469,0)*$B$9-$B$6*$B$8</x:f>
        <x:v>27.049999999999955</x:v>
      </x:c>
      <x:c r="H469" t="n">
        <x:f>MAX(D469-$B$5,0)</x:f>
        <x:v>0</x:v>
      </x:c>
      <x:c r="I469" t="n">
        <x:f>MAX($B$5-D469,0)</x:f>
        <x:v>117</x:v>
      </x:c>
    </x:row>
    <x:row r="470">
      <x:c r="A470" t="n">
        <x:f>458</x:f>
        <x:v>458</x:v>
      </x:c>
      <x:c r="B470" t="n">
        <x:f>RAND()</x:f>
        <x:v>0.9589387981425903</x:v>
      </x:c>
      <x:c r="C470" t="n">
        <x:f>MIN(47,INT(B470*47)+1)</x:f>
        <x:v>46</x:v>
      </x:c>
      <x:c r="D470" t="n">
        <x:f>INDEX(Datos_47_semanas!$B$4:$B$50,C470)</x:f>
        <x:v>449</x:v>
      </x:c>
      <x:c r="E470" t="n">
        <x:f>MIN($B$4,D470)*$B$7+MAX($B$4-D470,0)*$B$9-$B$4*$B$8</x:f>
        <x:v>200</x:v>
      </x:c>
      <x:c r="F470" t="n">
        <x:f>MIN($B$5,D470)*$B$7+MAX($B$5-D470,0)*$B$9-$B$5*$B$8</x:f>
        <x:v>240</x:v>
      </x:c>
      <x:c r="G470" t="n">
        <x:f>MIN($B$6,D470)*$B$7+MAX($B$6-D470,0)*$B$9-$B$6*$B$8</x:f>
        <x:v>320</x:v>
      </x:c>
      <x:c r="H470" t="n">
        <x:f>MAX(D470-$B$5,0)</x:f>
        <x:v>149</x:v>
      </x:c>
      <x:c r="I470" t="n">
        <x:f>MAX($B$5-D470,0)</x:f>
        <x:v>0</x:v>
      </x:c>
    </x:row>
    <x:row r="471">
      <x:c r="A471" t="n">
        <x:f>459</x:f>
        <x:v>459</x:v>
      </x:c>
      <x:c r="B471" t="n">
        <x:f>RAND()</x:f>
        <x:v>0.3295628687191072</x:v>
      </x:c>
      <x:c r="C471" t="n">
        <x:f>MIN(47,INT(B471*47)+1)</x:f>
        <x:v>16</x:v>
      </x:c>
      <x:c r="D471" t="n">
        <x:f>INDEX(Datos_47_semanas!$B$4:$B$50,C471)</x:f>
        <x:v>318</x:v>
      </x:c>
      <x:c r="E471" t="n">
        <x:f>MIN($B$4,D471)*$B$7+MAX($B$4-D471,0)*$B$9-$B$4*$B$8</x:f>
        <x:v>200</x:v>
      </x:c>
      <x:c r="F471" t="n">
        <x:f>MIN($B$5,D471)*$B$7+MAX($B$5-D471,0)*$B$9-$B$5*$B$8</x:f>
        <x:v>240</x:v>
      </x:c>
      <x:c r="G471" t="n">
        <x:f>MIN($B$6,D471)*$B$7+MAX($B$6-D471,0)*$B$9-$B$6*$B$8</x:f>
        <x:v>209.29999999999995</x:v>
      </x:c>
      <x:c r="H471" t="n">
        <x:f>MAX(D471-$B$5,0)</x:f>
        <x:v>18</x:v>
      </x:c>
      <x:c r="I471" t="n">
        <x:f>MAX($B$5-D471,0)</x:f>
        <x:v>0</x:v>
      </x:c>
    </x:row>
    <x:row r="472">
      <x:c r="A472" t="n">
        <x:f>460</x:f>
        <x:v>460</x:v>
      </x:c>
      <x:c r="B472" t="n">
        <x:f>RAND()</x:f>
        <x:v>0.5218996164548465</x:v>
      </x:c>
      <x:c r="C472" t="n">
        <x:f>MIN(47,INT(B472*47)+1)</x:f>
        <x:v>25</x:v>
      </x:c>
      <x:c r="D472" t="n">
        <x:f>INDEX(Datos_47_semanas!$B$4:$B$50,C472)</x:f>
        <x:v>218</x:v>
      </x:c>
      <x:c r="E472" t="n">
        <x:f>MIN($B$4,D472)*$B$7+MAX($B$4-D472,0)*$B$9-$B$4*$B$8</x:f>
        <x:v>156.8</x:v>
      </x:c>
      <x:c r="F472" t="n">
        <x:f>MIN($B$5,D472)*$B$7+MAX($B$5-D472,0)*$B$9-$B$5*$B$8</x:f>
        <x:v>129.3</x:v>
      </x:c>
      <x:c r="G472" t="n">
        <x:f>MIN($B$6,D472)*$B$7+MAX($B$6-D472,0)*$B$9-$B$6*$B$8</x:f>
        <x:v>74.30000000000001</x:v>
      </x:c>
      <x:c r="H472" t="n">
        <x:f>MAX(D472-$B$5,0)</x:f>
        <x:v>0</x:v>
      </x:c>
      <x:c r="I472" t="n">
        <x:f>MAX($B$5-D472,0)</x:f>
        <x:v>82</x:v>
      </x:c>
    </x:row>
    <x:row r="473">
      <x:c r="A473" t="n">
        <x:f>461</x:f>
        <x:v>461</x:v>
      </x:c>
      <x:c r="B473" t="n">
        <x:f>RAND()</x:f>
        <x:v>0.07329113386673314</x:v>
      </x:c>
      <x:c r="C473" t="n">
        <x:f>MIN(47,INT(B473*47)+1)</x:f>
        <x:v>4</x:v>
      </x:c>
      <x:c r="D473" t="n">
        <x:f>INDEX(Datos_47_semanas!$B$4:$B$50,C473)</x:f>
        <x:v>161</x:v>
      </x:c>
      <x:c r="E473" t="n">
        <x:f>MIN($B$4,D473)*$B$7+MAX($B$4-D473,0)*$B$9-$B$4*$B$8</x:f>
        <x:v>79.84999999999997</x:v>
      </x:c>
      <x:c r="F473" t="n">
        <x:f>MIN($B$5,D473)*$B$7+MAX($B$5-D473,0)*$B$9-$B$5*$B$8</x:f>
        <x:v>52.349999999999966</x:v>
      </x:c>
      <x:c r="G473" t="n">
        <x:f>MIN($B$6,D473)*$B$7+MAX($B$6-D473,0)*$B$9-$B$6*$B$8</x:f>
        <x:v>-2.650000000000034</x:v>
      </x:c>
      <x:c r="H473" t="n">
        <x:f>MAX(D473-$B$5,0)</x:f>
        <x:v>0</x:v>
      </x:c>
      <x:c r="I473" t="n">
        <x:f>MAX($B$5-D473,0)</x:f>
        <x:v>139</x:v>
      </x:c>
    </x:row>
    <x:row r="474">
      <x:c r="A474" t="n">
        <x:f>462</x:f>
        <x:v>462</x:v>
      </x:c>
      <x:c r="B474" t="n">
        <x:f>RAND()</x:f>
        <x:v>0.8758573675616724</x:v>
      </x:c>
      <x:c r="C474" t="n">
        <x:f>MIN(47,INT(B474*47)+1)</x:f>
        <x:v>42</x:v>
      </x:c>
      <x:c r="D474" t="n">
        <x:f>INDEX(Datos_47_semanas!$B$4:$B$50,C474)</x:f>
        <x:v>146</x:v>
      </x:c>
      <x:c r="E474" t="n">
        <x:f>MIN($B$4,D474)*$B$7+MAX($B$4-D474,0)*$B$9-$B$4*$B$8</x:f>
        <x:v>59.599999999999966</x:v>
      </x:c>
      <x:c r="F474" t="n">
        <x:f>MIN($B$5,D474)*$B$7+MAX($B$5-D474,0)*$B$9-$B$5*$B$8</x:f>
        <x:v>32.099999999999966</x:v>
      </x:c>
      <x:c r="G474" t="n">
        <x:f>MIN($B$6,D474)*$B$7+MAX($B$6-D474,0)*$B$9-$B$6*$B$8</x:f>
        <x:v>-22.900000000000034</x:v>
      </x:c>
      <x:c r="H474" t="n">
        <x:f>MAX(D474-$B$5,0)</x:f>
        <x:v>0</x:v>
      </x:c>
      <x:c r="I474" t="n">
        <x:f>MAX($B$5-D474,0)</x:f>
        <x:v>154</x:v>
      </x:c>
    </x:row>
    <x:row r="475">
      <x:c r="A475" t="n">
        <x:f>463</x:f>
        <x:v>463</x:v>
      </x:c>
      <x:c r="B475" t="n">
        <x:f>RAND()</x:f>
        <x:v>0.3934611462241614</x:v>
      </x:c>
      <x:c r="C475" t="n">
        <x:f>MIN(47,INT(B475*47)+1)</x:f>
        <x:v>19</x:v>
      </x:c>
      <x:c r="D475" t="n">
        <x:f>INDEX(Datos_47_semanas!$B$4:$B$50,C475)</x:f>
        <x:v>470</x:v>
      </x:c>
      <x:c r="E475" t="n">
        <x:f>MIN($B$4,D475)*$B$7+MAX($B$4-D475,0)*$B$9-$B$4*$B$8</x:f>
        <x:v>200</x:v>
      </x:c>
      <x:c r="F475" t="n">
        <x:f>MIN($B$5,D475)*$B$7+MAX($B$5-D475,0)*$B$9-$B$5*$B$8</x:f>
        <x:v>240</x:v>
      </x:c>
      <x:c r="G475" t="n">
        <x:f>MIN($B$6,D475)*$B$7+MAX($B$6-D475,0)*$B$9-$B$6*$B$8</x:f>
        <x:v>320</x:v>
      </x:c>
      <x:c r="H475" t="n">
        <x:f>MAX(D475-$B$5,0)</x:f>
        <x:v>170</x:v>
      </x:c>
      <x:c r="I475" t="n">
        <x:f>MAX($B$5-D475,0)</x:f>
        <x:v>0</x:v>
      </x:c>
    </x:row>
    <x:row r="476">
      <x:c r="A476" t="n">
        <x:f>464</x:f>
        <x:v>464</x:v>
      </x:c>
      <x:c r="B476" t="n">
        <x:f>RAND()</x:f>
        <x:v>0.3932316274777886</x:v>
      </x:c>
      <x:c r="C476" t="n">
        <x:f>MIN(47,INT(B476*47)+1)</x:f>
        <x:v>19</x:v>
      </x:c>
      <x:c r="D476" t="n">
        <x:f>INDEX(Datos_47_semanas!$B$4:$B$50,C476)</x:f>
        <x:v>470</x:v>
      </x:c>
      <x:c r="E476" t="n">
        <x:f>MIN($B$4,D476)*$B$7+MAX($B$4-D476,0)*$B$9-$B$4*$B$8</x:f>
        <x:v>200</x:v>
      </x:c>
      <x:c r="F476" t="n">
        <x:f>MIN($B$5,D476)*$B$7+MAX($B$5-D476,0)*$B$9-$B$5*$B$8</x:f>
        <x:v>240</x:v>
      </x:c>
      <x:c r="G476" t="n">
        <x:f>MIN($B$6,D476)*$B$7+MAX($B$6-D476,0)*$B$9-$B$6*$B$8</x:f>
        <x:v>320</x:v>
      </x:c>
      <x:c r="H476" t="n">
        <x:f>MAX(D476-$B$5,0)</x:f>
        <x:v>170</x:v>
      </x:c>
      <x:c r="I476" t="n">
        <x:f>MAX($B$5-D476,0)</x:f>
        <x:v>0</x:v>
      </x:c>
    </x:row>
    <x:row r="477">
      <x:c r="A477" t="n">
        <x:f>465</x:f>
        <x:v>465</x:v>
      </x:c>
      <x:c r="B477" t="n">
        <x:f>RAND()</x:f>
        <x:v>0.07064106091656652</x:v>
      </x:c>
      <x:c r="C477" t="n">
        <x:f>MIN(47,INT(B477*47)+1)</x:f>
        <x:v>4</x:v>
      </x:c>
      <x:c r="D477" t="n">
        <x:f>INDEX(Datos_47_semanas!$B$4:$B$50,C477)</x:f>
        <x:v>161</x:v>
      </x:c>
      <x:c r="E477" t="n">
        <x:f>MIN($B$4,D477)*$B$7+MAX($B$4-D477,0)*$B$9-$B$4*$B$8</x:f>
        <x:v>79.84999999999997</x:v>
      </x:c>
      <x:c r="F477" t="n">
        <x:f>MIN($B$5,D477)*$B$7+MAX($B$5-D477,0)*$B$9-$B$5*$B$8</x:f>
        <x:v>52.349999999999966</x:v>
      </x:c>
      <x:c r="G477" t="n">
        <x:f>MIN($B$6,D477)*$B$7+MAX($B$6-D477,0)*$B$9-$B$6*$B$8</x:f>
        <x:v>-2.650000000000034</x:v>
      </x:c>
      <x:c r="H477" t="n">
        <x:f>MAX(D477-$B$5,0)</x:f>
        <x:v>0</x:v>
      </x:c>
      <x:c r="I477" t="n">
        <x:f>MAX($B$5-D477,0)</x:f>
        <x:v>139</x:v>
      </x:c>
    </x:row>
    <x:row r="478">
      <x:c r="A478" t="n">
        <x:f>466</x:f>
        <x:v>466</x:v>
      </x:c>
      <x:c r="B478" t="n">
        <x:f>RAND()</x:f>
        <x:v>0.7613312526176694</x:v>
      </x:c>
      <x:c r="C478" t="n">
        <x:f>MIN(47,INT(B478*47)+1)</x:f>
        <x:v>36</x:v>
      </x:c>
      <x:c r="D478" t="n">
        <x:f>INDEX(Datos_47_semanas!$B$4:$B$50,C478)</x:f>
        <x:v>304</x:v>
      </x:c>
      <x:c r="E478" t="n">
        <x:f>MIN($B$4,D478)*$B$7+MAX($B$4-D478,0)*$B$9-$B$4*$B$8</x:f>
        <x:v>200</x:v>
      </x:c>
      <x:c r="F478" t="n">
        <x:f>MIN($B$5,D478)*$B$7+MAX($B$5-D478,0)*$B$9-$B$5*$B$8</x:f>
        <x:v>240</x:v>
      </x:c>
      <x:c r="G478" t="n">
        <x:f>MIN($B$6,D478)*$B$7+MAX($B$6-D478,0)*$B$9-$B$6*$B$8</x:f>
        <x:v>190.39999999999998</x:v>
      </x:c>
      <x:c r="H478" t="n">
        <x:f>MAX(D478-$B$5,0)</x:f>
        <x:v>4</x:v>
      </x:c>
      <x:c r="I478" t="n">
        <x:f>MAX($B$5-D478,0)</x:f>
        <x:v>0</x:v>
      </x:c>
    </x:row>
    <x:row r="479">
      <x:c r="A479" t="n">
        <x:f>467</x:f>
        <x:v>467</x:v>
      </x:c>
      <x:c r="B479" t="n">
        <x:f>RAND()</x:f>
        <x:v>0.6353930579567821</x:v>
      </x:c>
      <x:c r="C479" t="n">
        <x:f>MIN(47,INT(B479*47)+1)</x:f>
        <x:v>30</x:v>
      </x:c>
      <x:c r="D479" t="n">
        <x:f>INDEX(Datos_47_semanas!$B$4:$B$50,C479)</x:f>
        <x:v>345</x:v>
      </x:c>
      <x:c r="E479" t="n">
        <x:f>MIN($B$4,D479)*$B$7+MAX($B$4-D479,0)*$B$9-$B$4*$B$8</x:f>
        <x:v>200</x:v>
      </x:c>
      <x:c r="F479" t="n">
        <x:f>MIN($B$5,D479)*$B$7+MAX($B$5-D479,0)*$B$9-$B$5*$B$8</x:f>
        <x:v>240</x:v>
      </x:c>
      <x:c r="G479" t="n">
        <x:f>MIN($B$6,D479)*$B$7+MAX($B$6-D479,0)*$B$9-$B$6*$B$8</x:f>
        <x:v>245.75</x:v>
      </x:c>
      <x:c r="H479" t="n">
        <x:f>MAX(D479-$B$5,0)</x:f>
        <x:v>45</x:v>
      </x:c>
      <x:c r="I479" t="n">
        <x:f>MAX($B$5-D479,0)</x:f>
        <x:v>0</x:v>
      </x:c>
    </x:row>
    <x:row r="480">
      <x:c r="A480" t="n">
        <x:f>468</x:f>
        <x:v>468</x:v>
      </x:c>
      <x:c r="B480" t="n">
        <x:f>RAND()</x:f>
        <x:v>0.11251628964170113</x:v>
      </x:c>
      <x:c r="C480" t="n">
        <x:f>MIN(47,INT(B480*47)+1)</x:f>
        <x:v>6</x:v>
      </x:c>
      <x:c r="D480" t="n">
        <x:f>INDEX(Datos_47_semanas!$B$4:$B$50,C480)</x:f>
        <x:v>155</x:v>
      </x:c>
      <x:c r="E480" t="n">
        <x:f>MIN($B$4,D480)*$B$7+MAX($B$4-D480,0)*$B$9-$B$4*$B$8</x:f>
        <x:v>71.75</x:v>
      </x:c>
      <x:c r="F480" t="n">
        <x:f>MIN($B$5,D480)*$B$7+MAX($B$5-D480,0)*$B$9-$B$5*$B$8</x:f>
        <x:v>44.25</x:v>
      </x:c>
      <x:c r="G480" t="n">
        <x:f>MIN($B$6,D480)*$B$7+MAX($B$6-D480,0)*$B$9-$B$6*$B$8</x:f>
        <x:v>-10.75</x:v>
      </x:c>
      <x:c r="H480" t="n">
        <x:f>MAX(D480-$B$5,0)</x:f>
        <x:v>0</x:v>
      </x:c>
      <x:c r="I480" t="n">
        <x:f>MAX($B$5-D480,0)</x:f>
        <x:v>145</x:v>
      </x:c>
    </x:row>
    <x:row r="481">
      <x:c r="A481" t="n">
        <x:f>469</x:f>
        <x:v>469</x:v>
      </x:c>
      <x:c r="B481" t="n">
        <x:f>RAND()</x:f>
        <x:v>0.811572007131931</x:v>
      </x:c>
      <x:c r="C481" t="n">
        <x:f>MIN(47,INT(B481*47)+1)</x:f>
        <x:v>39</x:v>
      </x:c>
      <x:c r="D481" t="n">
        <x:f>INDEX(Datos_47_semanas!$B$4:$B$50,C481)</x:f>
        <x:v>228</x:v>
      </x:c>
      <x:c r="E481" t="n">
        <x:f>MIN($B$4,D481)*$B$7+MAX($B$4-D481,0)*$B$9-$B$4*$B$8</x:f>
        <x:v>170.3</x:v>
      </x:c>
      <x:c r="F481" t="n">
        <x:f>MIN($B$5,D481)*$B$7+MAX($B$5-D481,0)*$B$9-$B$5*$B$8</x:f>
        <x:v>142.8</x:v>
      </x:c>
      <x:c r="G481" t="n">
        <x:f>MIN($B$6,D481)*$B$7+MAX($B$6-D481,0)*$B$9-$B$6*$B$8</x:f>
        <x:v>87.80000000000001</x:v>
      </x:c>
      <x:c r="H481" t="n">
        <x:f>MAX(D481-$B$5,0)</x:f>
        <x:v>0</x:v>
      </x:c>
      <x:c r="I481" t="n">
        <x:f>MAX($B$5-D481,0)</x:f>
        <x:v>72</x:v>
      </x:c>
    </x:row>
    <x:row r="482">
      <x:c r="A482" t="n">
        <x:f>470</x:f>
        <x:v>470</x:v>
      </x:c>
      <x:c r="B482" t="n">
        <x:f>RAND()</x:f>
        <x:v>0.07482608641004285</x:v>
      </x:c>
      <x:c r="C482" t="n">
        <x:f>MIN(47,INT(B482*47)+1)</x:f>
        <x:v>4</x:v>
      </x:c>
      <x:c r="D482" t="n">
        <x:f>INDEX(Datos_47_semanas!$B$4:$B$50,C482)</x:f>
        <x:v>161</x:v>
      </x:c>
      <x:c r="E482" t="n">
        <x:f>MIN($B$4,D482)*$B$7+MAX($B$4-D482,0)*$B$9-$B$4*$B$8</x:f>
        <x:v>79.84999999999997</x:v>
      </x:c>
      <x:c r="F482" t="n">
        <x:f>MIN($B$5,D482)*$B$7+MAX($B$5-D482,0)*$B$9-$B$5*$B$8</x:f>
        <x:v>52.349999999999966</x:v>
      </x:c>
      <x:c r="G482" t="n">
        <x:f>MIN($B$6,D482)*$B$7+MAX($B$6-D482,0)*$B$9-$B$6*$B$8</x:f>
        <x:v>-2.650000000000034</x:v>
      </x:c>
      <x:c r="H482" t="n">
        <x:f>MAX(D482-$B$5,0)</x:f>
        <x:v>0</x:v>
      </x:c>
      <x:c r="I482" t="n">
        <x:f>MAX($B$5-D482,0)</x:f>
        <x:v>139</x:v>
      </x:c>
    </x:row>
    <x:row r="483">
      <x:c r="A483" t="n">
        <x:f>471</x:f>
        <x:v>471</x:v>
      </x:c>
      <x:c r="B483" t="n">
        <x:f>RAND()</x:f>
        <x:v>0.49445263602787215</x:v>
      </x:c>
      <x:c r="C483" t="n">
        <x:f>MIN(47,INT(B483*47)+1)</x:f>
        <x:v>24</x:v>
      </x:c>
      <x:c r="D483" t="n">
        <x:f>INDEX(Datos_47_semanas!$B$4:$B$50,C483)</x:f>
        <x:v>186</x:v>
      </x:c>
      <x:c r="E483" t="n">
        <x:f>MIN($B$4,D483)*$B$7+MAX($B$4-D483,0)*$B$9-$B$4*$B$8</x:f>
        <x:v>113.59999999999997</x:v>
      </x:c>
      <x:c r="F483" t="n">
        <x:f>MIN($B$5,D483)*$B$7+MAX($B$5-D483,0)*$B$9-$B$5*$B$8</x:f>
        <x:v>86.09999999999997</x:v>
      </x:c>
      <x:c r="G483" t="n">
        <x:f>MIN($B$6,D483)*$B$7+MAX($B$6-D483,0)*$B$9-$B$6*$B$8</x:f>
        <x:v>31.099999999999966</x:v>
      </x:c>
      <x:c r="H483" t="n">
        <x:f>MAX(D483-$B$5,0)</x:f>
        <x:v>0</x:v>
      </x:c>
      <x:c r="I483" t="n">
        <x:f>MAX($B$5-D483,0)</x:f>
        <x:v>114</x:v>
      </x:c>
    </x:row>
    <x:row r="484">
      <x:c r="A484" t="n">
        <x:f>472</x:f>
        <x:v>472</x:v>
      </x:c>
      <x:c r="B484" t="n">
        <x:f>RAND()</x:f>
        <x:v>0.12309313149050494</x:v>
      </x:c>
      <x:c r="C484" t="n">
        <x:f>MIN(47,INT(B484*47)+1)</x:f>
        <x:v>6</x:v>
      </x:c>
      <x:c r="D484" t="n">
        <x:f>INDEX(Datos_47_semanas!$B$4:$B$50,C484)</x:f>
        <x:v>155</x:v>
      </x:c>
      <x:c r="E484" t="n">
        <x:f>MIN($B$4,D484)*$B$7+MAX($B$4-D484,0)*$B$9-$B$4*$B$8</x:f>
        <x:v>71.75</x:v>
      </x:c>
      <x:c r="F484" t="n">
        <x:f>MIN($B$5,D484)*$B$7+MAX($B$5-D484,0)*$B$9-$B$5*$B$8</x:f>
        <x:v>44.25</x:v>
      </x:c>
      <x:c r="G484" t="n">
        <x:f>MIN($B$6,D484)*$B$7+MAX($B$6-D484,0)*$B$9-$B$6*$B$8</x:f>
        <x:v>-10.75</x:v>
      </x:c>
      <x:c r="H484" t="n">
        <x:f>MAX(D484-$B$5,0)</x:f>
        <x:v>0</x:v>
      </x:c>
      <x:c r="I484" t="n">
        <x:f>MAX($B$5-D484,0)</x:f>
        <x:v>145</x:v>
      </x:c>
    </x:row>
    <x:row r="485">
      <x:c r="A485" t="n">
        <x:f>473</x:f>
        <x:v>473</x:v>
      </x:c>
      <x:c r="B485" t="n">
        <x:f>RAND()</x:f>
        <x:v>0.45882296028639535</x:v>
      </x:c>
      <x:c r="C485" t="n">
        <x:f>MIN(47,INT(B485*47)+1)</x:f>
        <x:v>22</x:v>
      </x:c>
      <x:c r="D485" t="n">
        <x:f>INDEX(Datos_47_semanas!$B$4:$B$50,C485)</x:f>
        <x:v>171</x:v>
      </x:c>
      <x:c r="E485" t="n">
        <x:f>MIN($B$4,D485)*$B$7+MAX($B$4-D485,0)*$B$9-$B$4*$B$8</x:f>
        <x:v>93.34999999999997</x:v>
      </x:c>
      <x:c r="F485" t="n">
        <x:f>MIN($B$5,D485)*$B$7+MAX($B$5-D485,0)*$B$9-$B$5*$B$8</x:f>
        <x:v>65.84999999999997</x:v>
      </x:c>
      <x:c r="G485" t="n">
        <x:f>MIN($B$6,D485)*$B$7+MAX($B$6-D485,0)*$B$9-$B$6*$B$8</x:f>
        <x:v>10.849999999999966</x:v>
      </x:c>
      <x:c r="H485" t="n">
        <x:f>MAX(D485-$B$5,0)</x:f>
        <x:v>0</x:v>
      </x:c>
      <x:c r="I485" t="n">
        <x:f>MAX($B$5-D485,0)</x:f>
        <x:v>129</x:v>
      </x:c>
    </x:row>
    <x:row r="486">
      <x:c r="A486" t="n">
        <x:f>474</x:f>
        <x:v>474</x:v>
      </x:c>
      <x:c r="B486" t="n">
        <x:f>RAND()</x:f>
        <x:v>0.8939075688729766</x:v>
      </x:c>
      <x:c r="C486" t="n">
        <x:f>MIN(47,INT(B486*47)+1)</x:f>
        <x:v>43</x:v>
      </x:c>
      <x:c r="D486" t="n">
        <x:f>INDEX(Datos_47_semanas!$B$4:$B$50,C486)</x:f>
        <x:v>234</x:v>
      </x:c>
      <x:c r="E486" t="n">
        <x:f>MIN($B$4,D486)*$B$7+MAX($B$4-D486,0)*$B$9-$B$4*$B$8</x:f>
        <x:v>178.39999999999998</x:v>
      </x:c>
      <x:c r="F486" t="n">
        <x:f>MIN($B$5,D486)*$B$7+MAX($B$5-D486,0)*$B$9-$B$5*$B$8</x:f>
        <x:v>150.89999999999998</x:v>
      </x:c>
      <x:c r="G486" t="n">
        <x:f>MIN($B$6,D486)*$B$7+MAX($B$6-D486,0)*$B$9-$B$6*$B$8</x:f>
        <x:v>95.89999999999998</x:v>
      </x:c>
      <x:c r="H486" t="n">
        <x:f>MAX(D486-$B$5,0)</x:f>
        <x:v>0</x:v>
      </x:c>
      <x:c r="I486" t="n">
        <x:f>MAX($B$5-D486,0)</x:f>
        <x:v>66</x:v>
      </x:c>
    </x:row>
    <x:row r="487">
      <x:c r="A487" t="n">
        <x:f>475</x:f>
        <x:v>475</x:v>
      </x:c>
      <x:c r="B487" t="n">
        <x:f>RAND()</x:f>
        <x:v>0.07211337121744055</x:v>
      </x:c>
      <x:c r="C487" t="n">
        <x:f>MIN(47,INT(B487*47)+1)</x:f>
        <x:v>4</x:v>
      </x:c>
      <x:c r="D487" t="n">
        <x:f>INDEX(Datos_47_semanas!$B$4:$B$50,C487)</x:f>
        <x:v>161</x:v>
      </x:c>
      <x:c r="E487" t="n">
        <x:f>MIN($B$4,D487)*$B$7+MAX($B$4-D487,0)*$B$9-$B$4*$B$8</x:f>
        <x:v>79.84999999999997</x:v>
      </x:c>
      <x:c r="F487" t="n">
        <x:f>MIN($B$5,D487)*$B$7+MAX($B$5-D487,0)*$B$9-$B$5*$B$8</x:f>
        <x:v>52.349999999999966</x:v>
      </x:c>
      <x:c r="G487" t="n">
        <x:f>MIN($B$6,D487)*$B$7+MAX($B$6-D487,0)*$B$9-$B$6*$B$8</x:f>
        <x:v>-2.650000000000034</x:v>
      </x:c>
      <x:c r="H487" t="n">
        <x:f>MAX(D487-$B$5,0)</x:f>
        <x:v>0</x:v>
      </x:c>
      <x:c r="I487" t="n">
        <x:f>MAX($B$5-D487,0)</x:f>
        <x:v>139</x:v>
      </x:c>
    </x:row>
    <x:row r="488">
      <x:c r="A488" t="n">
        <x:f>476</x:f>
        <x:v>476</x:v>
      </x:c>
      <x:c r="B488" t="n">
        <x:f>RAND()</x:f>
        <x:v>0.9917315045565878</x:v>
      </x:c>
      <x:c r="C488" t="n">
        <x:f>MIN(47,INT(B488*47)+1)</x:f>
        <x:v>47</x:v>
      </x:c>
      <x:c r="D488" t="n">
        <x:f>INDEX(Datos_47_semanas!$B$4:$B$50,C488)</x:f>
        <x:v>256</x:v>
      </x:c>
      <x:c r="E488" t="n">
        <x:f>MIN($B$4,D488)*$B$7+MAX($B$4-D488,0)*$B$9-$B$4*$B$8</x:f>
        <x:v>200</x:v>
      </x:c>
      <x:c r="F488" t="n">
        <x:f>MIN($B$5,D488)*$B$7+MAX($B$5-D488,0)*$B$9-$B$5*$B$8</x:f>
        <x:v>180.59999999999997</x:v>
      </x:c>
      <x:c r="G488" t="n">
        <x:f>MIN($B$6,D488)*$B$7+MAX($B$6-D488,0)*$B$9-$B$6*$B$8</x:f>
        <x:v>125.59999999999997</x:v>
      </x:c>
      <x:c r="H488" t="n">
        <x:f>MAX(D488-$B$5,0)</x:f>
        <x:v>0</x:v>
      </x:c>
      <x:c r="I488" t="n">
        <x:f>MAX($B$5-D488,0)</x:f>
        <x:v>44</x:v>
      </x:c>
    </x:row>
    <x:row r="489">
      <x:c r="A489" t="n">
        <x:f>477</x:f>
        <x:v>477</x:v>
      </x:c>
      <x:c r="B489" t="n">
        <x:f>RAND()</x:f>
        <x:v>0.753436329439629</x:v>
      </x:c>
      <x:c r="C489" t="n">
        <x:f>MIN(47,INT(B489*47)+1)</x:f>
        <x:v>36</x:v>
      </x:c>
      <x:c r="D489" t="n">
        <x:f>INDEX(Datos_47_semanas!$B$4:$B$50,C489)</x:f>
        <x:v>304</x:v>
      </x:c>
      <x:c r="E489" t="n">
        <x:f>MIN($B$4,D489)*$B$7+MAX($B$4-D489,0)*$B$9-$B$4*$B$8</x:f>
        <x:v>200</x:v>
      </x:c>
      <x:c r="F489" t="n">
        <x:f>MIN($B$5,D489)*$B$7+MAX($B$5-D489,0)*$B$9-$B$5*$B$8</x:f>
        <x:v>240</x:v>
      </x:c>
      <x:c r="G489" t="n">
        <x:f>MIN($B$6,D489)*$B$7+MAX($B$6-D489,0)*$B$9-$B$6*$B$8</x:f>
        <x:v>190.39999999999998</x:v>
      </x:c>
      <x:c r="H489" t="n">
        <x:f>MAX(D489-$B$5,0)</x:f>
        <x:v>4</x:v>
      </x:c>
      <x:c r="I489" t="n">
        <x:f>MAX($B$5-D489,0)</x:f>
        <x:v>0</x:v>
      </x:c>
    </x:row>
    <x:row r="490">
      <x:c r="A490" t="n">
        <x:f>478</x:f>
        <x:v>478</x:v>
      </x:c>
      <x:c r="B490" t="n">
        <x:f>RAND()</x:f>
        <x:v>0.48547213057148153</x:v>
      </x:c>
      <x:c r="C490" t="n">
        <x:f>MIN(47,INT(B490*47)+1)</x:f>
        <x:v>23</x:v>
      </x:c>
      <x:c r="D490" t="n">
        <x:f>INDEX(Datos_47_semanas!$B$4:$B$50,C490)</x:f>
        <x:v>565</x:v>
      </x:c>
      <x:c r="E490" t="n">
        <x:f>MIN($B$4,D490)*$B$7+MAX($B$4-D490,0)*$B$9-$B$4*$B$8</x:f>
        <x:v>200</x:v>
      </x:c>
      <x:c r="F490" t="n">
        <x:f>MIN($B$5,D490)*$B$7+MAX($B$5-D490,0)*$B$9-$B$5*$B$8</x:f>
        <x:v>240</x:v>
      </x:c>
      <x:c r="G490" t="n">
        <x:f>MIN($B$6,D490)*$B$7+MAX($B$6-D490,0)*$B$9-$B$6*$B$8</x:f>
        <x:v>320</x:v>
      </x:c>
      <x:c r="H490" t="n">
        <x:f>MAX(D490-$B$5,0)</x:f>
        <x:v>265</x:v>
      </x:c>
      <x:c r="I490" t="n">
        <x:f>MAX($B$5-D490,0)</x:f>
        <x:v>0</x:v>
      </x:c>
    </x:row>
    <x:row r="491">
      <x:c r="A491" t="n">
        <x:f>479</x:f>
        <x:v>479</x:v>
      </x:c>
      <x:c r="B491" t="n">
        <x:f>RAND()</x:f>
        <x:v>0.1413664163167685</x:v>
      </x:c>
      <x:c r="C491" t="n">
        <x:f>MIN(47,INT(B491*47)+1)</x:f>
        <x:v>7</x:v>
      </x:c>
      <x:c r="D491" t="n">
        <x:f>INDEX(Datos_47_semanas!$B$4:$B$50,C491)</x:f>
        <x:v>249</x:v>
      </x:c>
      <x:c r="E491" t="n">
        <x:f>MIN($B$4,D491)*$B$7+MAX($B$4-D491,0)*$B$9-$B$4*$B$8</x:f>
        <x:v>198.64999999999998</x:v>
      </x:c>
      <x:c r="F491" t="n">
        <x:f>MIN($B$5,D491)*$B$7+MAX($B$5-D491,0)*$B$9-$B$5*$B$8</x:f>
        <x:v>171.14999999999998</x:v>
      </x:c>
      <x:c r="G491" t="n">
        <x:f>MIN($B$6,D491)*$B$7+MAX($B$6-D491,0)*$B$9-$B$6*$B$8</x:f>
        <x:v>116.14999999999998</x:v>
      </x:c>
      <x:c r="H491" t="n">
        <x:f>MAX(D491-$B$5,0)</x:f>
        <x:v>0</x:v>
      </x:c>
      <x:c r="I491" t="n">
        <x:f>MAX($B$5-D491,0)</x:f>
        <x:v>51</x:v>
      </x:c>
    </x:row>
    <x:row r="492">
      <x:c r="A492" t="n">
        <x:f>480</x:f>
        <x:v>480</x:v>
      </x:c>
      <x:c r="B492" t="n">
        <x:f>RAND()</x:f>
        <x:v>0.7718265319471675</x:v>
      </x:c>
      <x:c r="C492" t="n">
        <x:f>MIN(47,INT(B492*47)+1)</x:f>
        <x:v>37</x:v>
      </x:c>
      <x:c r="D492" t="n">
        <x:f>INDEX(Datos_47_semanas!$B$4:$B$50,C492)</x:f>
        <x:v>299</x:v>
      </x:c>
      <x:c r="E492" t="n">
        <x:f>MIN($B$4,D492)*$B$7+MAX($B$4-D492,0)*$B$9-$B$4*$B$8</x:f>
        <x:v>200</x:v>
      </x:c>
      <x:c r="F492" t="n">
        <x:f>MIN($B$5,D492)*$B$7+MAX($B$5-D492,0)*$B$9-$B$5*$B$8</x:f>
        <x:v>238.64999999999998</x:v>
      </x:c>
      <x:c r="G492" t="n">
        <x:f>MIN($B$6,D492)*$B$7+MAX($B$6-D492,0)*$B$9-$B$6*$B$8</x:f>
        <x:v>183.64999999999998</x:v>
      </x:c>
      <x:c r="H492" t="n">
        <x:f>MAX(D492-$B$5,0)</x:f>
        <x:v>0</x:v>
      </x:c>
      <x:c r="I492" t="n">
        <x:f>MAX($B$5-D492,0)</x:f>
        <x:v>1</x:v>
      </x:c>
    </x:row>
    <x:row r="493">
      <x:c r="A493" t="n">
        <x:f>481</x:f>
        <x:v>481</x:v>
      </x:c>
      <x:c r="B493" t="n">
        <x:f>RAND()</x:f>
        <x:v>0.9687497323161799</x:v>
      </x:c>
      <x:c r="C493" t="n">
        <x:f>MIN(47,INT(B493*47)+1)</x:f>
        <x:v>46</x:v>
      </x:c>
      <x:c r="D493" t="n">
        <x:f>INDEX(Datos_47_semanas!$B$4:$B$50,C493)</x:f>
        <x:v>449</x:v>
      </x:c>
      <x:c r="E493" t="n">
        <x:f>MIN($B$4,D493)*$B$7+MAX($B$4-D493,0)*$B$9-$B$4*$B$8</x:f>
        <x:v>200</x:v>
      </x:c>
      <x:c r="F493" t="n">
        <x:f>MIN($B$5,D493)*$B$7+MAX($B$5-D493,0)*$B$9-$B$5*$B$8</x:f>
        <x:v>240</x:v>
      </x:c>
      <x:c r="G493" t="n">
        <x:f>MIN($B$6,D493)*$B$7+MAX($B$6-D493,0)*$B$9-$B$6*$B$8</x:f>
        <x:v>320</x:v>
      </x:c>
      <x:c r="H493" t="n">
        <x:f>MAX(D493-$B$5,0)</x:f>
        <x:v>149</x:v>
      </x:c>
      <x:c r="I493" t="n">
        <x:f>MAX($B$5-D493,0)</x:f>
        <x:v>0</x:v>
      </x:c>
    </x:row>
    <x:row r="494">
      <x:c r="A494" t="n">
        <x:f>482</x:f>
        <x:v>482</x:v>
      </x:c>
      <x:c r="B494" t="n">
        <x:f>RAND()</x:f>
        <x:v>0.9148540005721023</x:v>
      </x:c>
      <x:c r="C494" t="n">
        <x:f>MIN(47,INT(B494*47)+1)</x:f>
        <x:v>43</x:v>
      </x:c>
      <x:c r="D494" t="n">
        <x:f>INDEX(Datos_47_semanas!$B$4:$B$50,C494)</x:f>
        <x:v>234</x:v>
      </x:c>
      <x:c r="E494" t="n">
        <x:f>MIN($B$4,D494)*$B$7+MAX($B$4-D494,0)*$B$9-$B$4*$B$8</x:f>
        <x:v>178.39999999999998</x:v>
      </x:c>
      <x:c r="F494" t="n">
        <x:f>MIN($B$5,D494)*$B$7+MAX($B$5-D494,0)*$B$9-$B$5*$B$8</x:f>
        <x:v>150.89999999999998</x:v>
      </x:c>
      <x:c r="G494" t="n">
        <x:f>MIN($B$6,D494)*$B$7+MAX($B$6-D494,0)*$B$9-$B$6*$B$8</x:f>
        <x:v>95.89999999999998</x:v>
      </x:c>
      <x:c r="H494" t="n">
        <x:f>MAX(D494-$B$5,0)</x:f>
        <x:v>0</x:v>
      </x:c>
      <x:c r="I494" t="n">
        <x:f>MAX($B$5-D494,0)</x:f>
        <x:v>66</x:v>
      </x:c>
    </x:row>
    <x:row r="495">
      <x:c r="A495" t="n">
        <x:f>483</x:f>
        <x:v>483</x:v>
      </x:c>
      <x:c r="B495" t="n">
        <x:f>RAND()</x:f>
        <x:v>0.8411512044909133</x:v>
      </x:c>
      <x:c r="C495" t="n">
        <x:f>MIN(47,INT(B495*47)+1)</x:f>
        <x:v>40</x:v>
      </x:c>
      <x:c r="D495" t="n">
        <x:f>INDEX(Datos_47_semanas!$B$4:$B$50,C495)</x:f>
        <x:v>278</x:v>
      </x:c>
      <x:c r="E495" t="n">
        <x:f>MIN($B$4,D495)*$B$7+MAX($B$4-D495,0)*$B$9-$B$4*$B$8</x:f>
        <x:v>200</x:v>
      </x:c>
      <x:c r="F495" t="n">
        <x:f>MIN($B$5,D495)*$B$7+MAX($B$5-D495,0)*$B$9-$B$5*$B$8</x:f>
        <x:v>210.3</x:v>
      </x:c>
      <x:c r="G495" t="n">
        <x:f>MIN($B$6,D495)*$B$7+MAX($B$6-D495,0)*$B$9-$B$6*$B$8</x:f>
        <x:v>155.3</x:v>
      </x:c>
      <x:c r="H495" t="n">
        <x:f>MAX(D495-$B$5,0)</x:f>
        <x:v>0</x:v>
      </x:c>
      <x:c r="I495" t="n">
        <x:f>MAX($B$5-D495,0)</x:f>
        <x:v>22</x:v>
      </x:c>
    </x:row>
    <x:row r="496">
      <x:c r="A496" t="n">
        <x:f>484</x:f>
        <x:v>484</x:v>
      </x:c>
      <x:c r="B496" t="n">
        <x:f>RAND()</x:f>
        <x:v>0.9436549590819522</x:v>
      </x:c>
      <x:c r="C496" t="n">
        <x:f>MIN(47,INT(B496*47)+1)</x:f>
        <x:v>45</x:v>
      </x:c>
      <x:c r="D496" t="n">
        <x:f>INDEX(Datos_47_semanas!$B$4:$B$50,C496)</x:f>
        <x:v>526</x:v>
      </x:c>
      <x:c r="E496" t="n">
        <x:f>MIN($B$4,D496)*$B$7+MAX($B$4-D496,0)*$B$9-$B$4*$B$8</x:f>
        <x:v>200</x:v>
      </x:c>
      <x:c r="F496" t="n">
        <x:f>MIN($B$5,D496)*$B$7+MAX($B$5-D496,0)*$B$9-$B$5*$B$8</x:f>
        <x:v>240</x:v>
      </x:c>
      <x:c r="G496" t="n">
        <x:f>MIN($B$6,D496)*$B$7+MAX($B$6-D496,0)*$B$9-$B$6*$B$8</x:f>
        <x:v>320</x:v>
      </x:c>
      <x:c r="H496" t="n">
        <x:f>MAX(D496-$B$5,0)</x:f>
        <x:v>226</x:v>
      </x:c>
      <x:c r="I496" t="n">
        <x:f>MAX($B$5-D496,0)</x:f>
        <x:v>0</x:v>
      </x:c>
    </x:row>
    <x:row r="497">
      <x:c r="A497" t="n">
        <x:f>485</x:f>
        <x:v>485</x:v>
      </x:c>
      <x:c r="B497" t="n">
        <x:f>RAND()</x:f>
        <x:v>0.25450122230147587</x:v>
      </x:c>
      <x:c r="C497" t="n">
        <x:f>MIN(47,INT(B497*47)+1)</x:f>
        <x:v>12</x:v>
      </x:c>
      <x:c r="D497" t="n">
        <x:f>INDEX(Datos_47_semanas!$B$4:$B$50,C497)</x:f>
        <x:v>336</x:v>
      </x:c>
      <x:c r="E497" t="n">
        <x:f>MIN($B$4,D497)*$B$7+MAX($B$4-D497,0)*$B$9-$B$4*$B$8</x:f>
        <x:v>200</x:v>
      </x:c>
      <x:c r="F497" t="n">
        <x:f>MIN($B$5,D497)*$B$7+MAX($B$5-D497,0)*$B$9-$B$5*$B$8</x:f>
        <x:v>240</x:v>
      </x:c>
      <x:c r="G497" t="n">
        <x:f>MIN($B$6,D497)*$B$7+MAX($B$6-D497,0)*$B$9-$B$6*$B$8</x:f>
        <x:v>233.60000000000002</x:v>
      </x:c>
      <x:c r="H497" t="n">
        <x:f>MAX(D497-$B$5,0)</x:f>
        <x:v>36</x:v>
      </x:c>
      <x:c r="I497" t="n">
        <x:f>MAX($B$5-D497,0)</x:f>
        <x:v>0</x:v>
      </x:c>
    </x:row>
    <x:row r="498">
      <x:c r="A498" t="n">
        <x:f>486</x:f>
        <x:v>486</x:v>
      </x:c>
      <x:c r="B498" t="n">
        <x:f>RAND()</x:f>
        <x:v>0.7882092191150781</x:v>
      </x:c>
      <x:c r="C498" t="n">
        <x:f>MIN(47,INT(B498*47)+1)</x:f>
        <x:v>38</x:v>
      </x:c>
      <x:c r="D498" t="n">
        <x:f>INDEX(Datos_47_semanas!$B$4:$B$50,C498)</x:f>
        <x:v>212</x:v>
      </x:c>
      <x:c r="E498" t="n">
        <x:f>MIN($B$4,D498)*$B$7+MAX($B$4-D498,0)*$B$9-$B$4*$B$8</x:f>
        <x:v>148.69999999999993</x:v>
      </x:c>
      <x:c r="F498" t="n">
        <x:f>MIN($B$5,D498)*$B$7+MAX($B$5-D498,0)*$B$9-$B$5*$B$8</x:f>
        <x:v>121.19999999999993</x:v>
      </x:c>
      <x:c r="G498" t="n">
        <x:f>MIN($B$6,D498)*$B$7+MAX($B$6-D498,0)*$B$9-$B$6*$B$8</x:f>
        <x:v>66.19999999999993</x:v>
      </x:c>
      <x:c r="H498" t="n">
        <x:f>MAX(D498-$B$5,0)</x:f>
        <x:v>0</x:v>
      </x:c>
      <x:c r="I498" t="n">
        <x:f>MAX($B$5-D498,0)</x:f>
        <x:v>88</x:v>
      </x:c>
    </x:row>
    <x:row r="499">
      <x:c r="A499" t="n">
        <x:f>487</x:f>
        <x:v>487</x:v>
      </x:c>
      <x:c r="B499" t="n">
        <x:f>RAND()</x:f>
        <x:v>0.5560604762317121</x:v>
      </x:c>
      <x:c r="C499" t="n">
        <x:f>MIN(47,INT(B499*47)+1)</x:f>
        <x:v>27</x:v>
      </x:c>
      <x:c r="D499" t="n">
        <x:f>INDEX(Datos_47_semanas!$B$4:$B$50,C499)</x:f>
        <x:v>293</x:v>
      </x:c>
      <x:c r="E499" t="n">
        <x:f>MIN($B$4,D499)*$B$7+MAX($B$4-D499,0)*$B$9-$B$4*$B$8</x:f>
        <x:v>200</x:v>
      </x:c>
      <x:c r="F499" t="n">
        <x:f>MIN($B$5,D499)*$B$7+MAX($B$5-D499,0)*$B$9-$B$5*$B$8</x:f>
        <x:v>230.55</x:v>
      </x:c>
      <x:c r="G499" t="n">
        <x:f>MIN($B$6,D499)*$B$7+MAX($B$6-D499,0)*$B$9-$B$6*$B$8</x:f>
        <x:v>175.54999999999995</x:v>
      </x:c>
      <x:c r="H499" t="n">
        <x:f>MAX(D499-$B$5,0)</x:f>
        <x:v>0</x:v>
      </x:c>
      <x:c r="I499" t="n">
        <x:f>MAX($B$5-D499,0)</x:f>
        <x:v>7</x:v>
      </x:c>
    </x:row>
    <x:row r="500">
      <x:c r="A500" t="n">
        <x:f>488</x:f>
        <x:v>488</x:v>
      </x:c>
      <x:c r="B500" t="n">
        <x:f>RAND()</x:f>
        <x:v>0.42473819910413313</x:v>
      </x:c>
      <x:c r="C500" t="n">
        <x:f>MIN(47,INT(B500*47)+1)</x:f>
        <x:v>20</x:v>
      </x:c>
      <x:c r="D500" t="n">
        <x:f>INDEX(Datos_47_semanas!$B$4:$B$50,C500)</x:f>
        <x:v>335</x:v>
      </x:c>
      <x:c r="E500" t="n">
        <x:f>MIN($B$4,D500)*$B$7+MAX($B$4-D500,0)*$B$9-$B$4*$B$8</x:f>
        <x:v>200</x:v>
      </x:c>
      <x:c r="F500" t="n">
        <x:f>MIN($B$5,D500)*$B$7+MAX($B$5-D500,0)*$B$9-$B$5*$B$8</x:f>
        <x:v>240</x:v>
      </x:c>
      <x:c r="G500" t="n">
        <x:f>MIN($B$6,D500)*$B$7+MAX($B$6-D500,0)*$B$9-$B$6*$B$8</x:f>
        <x:v>232.25</x:v>
      </x:c>
      <x:c r="H500" t="n">
        <x:f>MAX(D500-$B$5,0)</x:f>
        <x:v>35</x:v>
      </x:c>
      <x:c r="I500" t="n">
        <x:f>MAX($B$5-D500,0)</x:f>
        <x:v>0</x:v>
      </x:c>
    </x:row>
    <x:row r="501">
      <x:c r="A501" t="n">
        <x:f>489</x:f>
        <x:v>489</x:v>
      </x:c>
      <x:c r="B501" t="n">
        <x:f>RAND()</x:f>
        <x:v>0.4777662788207092</x:v>
      </x:c>
      <x:c r="C501" t="n">
        <x:f>MIN(47,INT(B501*47)+1)</x:f>
        <x:v>23</x:v>
      </x:c>
      <x:c r="D501" t="n">
        <x:f>INDEX(Datos_47_semanas!$B$4:$B$50,C501)</x:f>
        <x:v>565</x:v>
      </x:c>
      <x:c r="E501" t="n">
        <x:f>MIN($B$4,D501)*$B$7+MAX($B$4-D501,0)*$B$9-$B$4*$B$8</x:f>
        <x:v>200</x:v>
      </x:c>
      <x:c r="F501" t="n">
        <x:f>MIN($B$5,D501)*$B$7+MAX($B$5-D501,0)*$B$9-$B$5*$B$8</x:f>
        <x:v>240</x:v>
      </x:c>
      <x:c r="G501" t="n">
        <x:f>MIN($B$6,D501)*$B$7+MAX($B$6-D501,0)*$B$9-$B$6*$B$8</x:f>
        <x:v>320</x:v>
      </x:c>
      <x:c r="H501" t="n">
        <x:f>MAX(D501-$B$5,0)</x:f>
        <x:v>265</x:v>
      </x:c>
      <x:c r="I501" t="n">
        <x:f>MAX($B$5-D501,0)</x:f>
        <x:v>0</x:v>
      </x:c>
    </x:row>
    <x:row r="502">
      <x:c r="A502" t="n">
        <x:f>490</x:f>
        <x:v>490</x:v>
      </x:c>
      <x:c r="B502" t="n">
        <x:f>RAND()</x:f>
        <x:v>0.802840409753623</x:v>
      </x:c>
      <x:c r="C502" t="n">
        <x:f>MIN(47,INT(B502*47)+1)</x:f>
        <x:v>38</x:v>
      </x:c>
      <x:c r="D502" t="n">
        <x:f>INDEX(Datos_47_semanas!$B$4:$B$50,C502)</x:f>
        <x:v>212</x:v>
      </x:c>
      <x:c r="E502" t="n">
        <x:f>MIN($B$4,D502)*$B$7+MAX($B$4-D502,0)*$B$9-$B$4*$B$8</x:f>
        <x:v>148.69999999999993</x:v>
      </x:c>
      <x:c r="F502" t="n">
        <x:f>MIN($B$5,D502)*$B$7+MAX($B$5-D502,0)*$B$9-$B$5*$B$8</x:f>
        <x:v>121.19999999999993</x:v>
      </x:c>
      <x:c r="G502" t="n">
        <x:f>MIN($B$6,D502)*$B$7+MAX($B$6-D502,0)*$B$9-$B$6*$B$8</x:f>
        <x:v>66.19999999999993</x:v>
      </x:c>
      <x:c r="H502" t="n">
        <x:f>MAX(D502-$B$5,0)</x:f>
        <x:v>0</x:v>
      </x:c>
      <x:c r="I502" t="n">
        <x:f>MAX($B$5-D502,0)</x:f>
        <x:v>88</x:v>
      </x:c>
    </x:row>
    <x:row r="503">
      <x:c r="A503" t="n">
        <x:f>491</x:f>
        <x:v>491</x:v>
      </x:c>
      <x:c r="B503" t="n">
        <x:f>RAND()</x:f>
        <x:v>0.40857820080293794</x:v>
      </x:c>
      <x:c r="C503" t="n">
        <x:f>MIN(47,INT(B503*47)+1)</x:f>
        <x:v>20</x:v>
      </x:c>
      <x:c r="D503" t="n">
        <x:f>INDEX(Datos_47_semanas!$B$4:$B$50,C503)</x:f>
        <x:v>335</x:v>
      </x:c>
      <x:c r="E503" t="n">
        <x:f>MIN($B$4,D503)*$B$7+MAX($B$4-D503,0)*$B$9-$B$4*$B$8</x:f>
        <x:v>200</x:v>
      </x:c>
      <x:c r="F503" t="n">
        <x:f>MIN($B$5,D503)*$B$7+MAX($B$5-D503,0)*$B$9-$B$5*$B$8</x:f>
        <x:v>240</x:v>
      </x:c>
      <x:c r="G503" t="n">
        <x:f>MIN($B$6,D503)*$B$7+MAX($B$6-D503,0)*$B$9-$B$6*$B$8</x:f>
        <x:v>232.25</x:v>
      </x:c>
      <x:c r="H503" t="n">
        <x:f>MAX(D503-$B$5,0)</x:f>
        <x:v>35</x:v>
      </x:c>
      <x:c r="I503" t="n">
        <x:f>MAX($B$5-D503,0)</x:f>
        <x:v>0</x:v>
      </x:c>
    </x:row>
    <x:row r="504">
      <x:c r="A504" t="n">
        <x:f>492</x:f>
        <x:v>492</x:v>
      </x:c>
      <x:c r="B504" t="n">
        <x:f>RAND()</x:f>
        <x:v>0.27373518376179107</x:v>
      </x:c>
      <x:c r="C504" t="n">
        <x:f>MIN(47,INT(B504*47)+1)</x:f>
        <x:v>13</x:v>
      </x:c>
      <x:c r="D504" t="n">
        <x:f>INDEX(Datos_47_semanas!$B$4:$B$50,C504)</x:f>
        <x:v>517</x:v>
      </x:c>
      <x:c r="E504" t="n">
        <x:f>MIN($B$4,D504)*$B$7+MAX($B$4-D504,0)*$B$9-$B$4*$B$8</x:f>
        <x:v>200</x:v>
      </x:c>
      <x:c r="F504" t="n">
        <x:f>MIN($B$5,D504)*$B$7+MAX($B$5-D504,0)*$B$9-$B$5*$B$8</x:f>
        <x:v>240</x:v>
      </x:c>
      <x:c r="G504" t="n">
        <x:f>MIN($B$6,D504)*$B$7+MAX($B$6-D504,0)*$B$9-$B$6*$B$8</x:f>
        <x:v>320</x:v>
      </x:c>
      <x:c r="H504" t="n">
        <x:f>MAX(D504-$B$5,0)</x:f>
        <x:v>217</x:v>
      </x:c>
      <x:c r="I504" t="n">
        <x:f>MAX($B$5-D504,0)</x:f>
        <x:v>0</x:v>
      </x:c>
    </x:row>
    <x:row r="505">
      <x:c r="A505" t="n">
        <x:f>493</x:f>
        <x:v>493</x:v>
      </x:c>
      <x:c r="B505" t="n">
        <x:f>RAND()</x:f>
        <x:v>0.6974094614535087</x:v>
      </x:c>
      <x:c r="C505" t="n">
        <x:f>MIN(47,INT(B505*47)+1)</x:f>
        <x:v>33</x:v>
      </x:c>
      <x:c r="D505" t="n">
        <x:f>INDEX(Datos_47_semanas!$B$4:$B$50,C505)</x:f>
        <x:v>373</x:v>
      </x:c>
      <x:c r="E505" t="n">
        <x:f>MIN($B$4,D505)*$B$7+MAX($B$4-D505,0)*$B$9-$B$4*$B$8</x:f>
        <x:v>200</x:v>
      </x:c>
      <x:c r="F505" t="n">
        <x:f>MIN($B$5,D505)*$B$7+MAX($B$5-D505,0)*$B$9-$B$5*$B$8</x:f>
        <x:v>240</x:v>
      </x:c>
      <x:c r="G505" t="n">
        <x:f>MIN($B$6,D505)*$B$7+MAX($B$6-D505,0)*$B$9-$B$6*$B$8</x:f>
        <x:v>283.54999999999995</x:v>
      </x:c>
      <x:c r="H505" t="n">
        <x:f>MAX(D505-$B$5,0)</x:f>
        <x:v>73</x:v>
      </x:c>
      <x:c r="I505" t="n">
        <x:f>MAX($B$5-D505,0)</x:f>
        <x:v>0</x:v>
      </x:c>
    </x:row>
    <x:row r="506">
      <x:c r="A506" t="n">
        <x:f>494</x:f>
        <x:v>494</x:v>
      </x:c>
      <x:c r="B506" t="n">
        <x:f>RAND()</x:f>
        <x:v>0.3418066257332505</x:v>
      </x:c>
      <x:c r="C506" t="n">
        <x:f>MIN(47,INT(B506*47)+1)</x:f>
        <x:v>17</x:v>
      </x:c>
      <x:c r="D506" t="n">
        <x:f>INDEX(Datos_47_semanas!$B$4:$B$50,C506)</x:f>
        <x:v>154</x:v>
      </x:c>
      <x:c r="E506" t="n">
        <x:f>MIN($B$4,D506)*$B$7+MAX($B$4-D506,0)*$B$9-$B$4*$B$8</x:f>
        <x:v>70.39999999999998</x:v>
      </x:c>
      <x:c r="F506" t="n">
        <x:f>MIN($B$5,D506)*$B$7+MAX($B$5-D506,0)*$B$9-$B$5*$B$8</x:f>
        <x:v>42.89999999999998</x:v>
      </x:c>
      <x:c r="G506" t="n">
        <x:f>MIN($B$6,D506)*$B$7+MAX($B$6-D506,0)*$B$9-$B$6*$B$8</x:f>
        <x:v>-12.100000000000023</x:v>
      </x:c>
      <x:c r="H506" t="n">
        <x:f>MAX(D506-$B$5,0)</x:f>
        <x:v>0</x:v>
      </x:c>
      <x:c r="I506" t="n">
        <x:f>MAX($B$5-D506,0)</x:f>
        <x:v>146</x:v>
      </x:c>
    </x:row>
    <x:row r="507">
      <x:c r="A507" t="n">
        <x:f>495</x:f>
        <x:v>495</x:v>
      </x:c>
      <x:c r="B507" t="n">
        <x:f>RAND()</x:f>
        <x:v>0.4103909539971554</x:v>
      </x:c>
      <x:c r="C507" t="n">
        <x:f>MIN(47,INT(B507*47)+1)</x:f>
        <x:v>20</x:v>
      </x:c>
      <x:c r="D507" t="n">
        <x:f>INDEX(Datos_47_semanas!$B$4:$B$50,C507)</x:f>
        <x:v>335</x:v>
      </x:c>
      <x:c r="E507" t="n">
        <x:f>MIN($B$4,D507)*$B$7+MAX($B$4-D507,0)*$B$9-$B$4*$B$8</x:f>
        <x:v>200</x:v>
      </x:c>
      <x:c r="F507" t="n">
        <x:f>MIN($B$5,D507)*$B$7+MAX($B$5-D507,0)*$B$9-$B$5*$B$8</x:f>
        <x:v>240</x:v>
      </x:c>
      <x:c r="G507" t="n">
        <x:f>MIN($B$6,D507)*$B$7+MAX($B$6-D507,0)*$B$9-$B$6*$B$8</x:f>
        <x:v>232.25</x:v>
      </x:c>
      <x:c r="H507" t="n">
        <x:f>MAX(D507-$B$5,0)</x:f>
        <x:v>35</x:v>
      </x:c>
      <x:c r="I507" t="n">
        <x:f>MAX($B$5-D507,0)</x:f>
        <x:v>0</x:v>
      </x:c>
    </x:row>
    <x:row r="508">
      <x:c r="A508" t="n">
        <x:f>496</x:f>
        <x:v>496</x:v>
      </x:c>
      <x:c r="B508" t="n">
        <x:f>RAND()</x:f>
        <x:v>0.3371831161798078</x:v>
      </x:c>
      <x:c r="C508" t="n">
        <x:f>MIN(47,INT(B508*47)+1)</x:f>
        <x:v>16</x:v>
      </x:c>
      <x:c r="D508" t="n">
        <x:f>INDEX(Datos_47_semanas!$B$4:$B$50,C508)</x:f>
        <x:v>318</x:v>
      </x:c>
      <x:c r="E508" t="n">
        <x:f>MIN($B$4,D508)*$B$7+MAX($B$4-D508,0)*$B$9-$B$4*$B$8</x:f>
        <x:v>200</x:v>
      </x:c>
      <x:c r="F508" t="n">
        <x:f>MIN($B$5,D508)*$B$7+MAX($B$5-D508,0)*$B$9-$B$5*$B$8</x:f>
        <x:v>240</x:v>
      </x:c>
      <x:c r="G508" t="n">
        <x:f>MIN($B$6,D508)*$B$7+MAX($B$6-D508,0)*$B$9-$B$6*$B$8</x:f>
        <x:v>209.29999999999995</x:v>
      </x:c>
      <x:c r="H508" t="n">
        <x:f>MAX(D508-$B$5,0)</x:f>
        <x:v>18</x:v>
      </x:c>
      <x:c r="I508" t="n">
        <x:f>MAX($B$5-D508,0)</x:f>
        <x:v>0</x:v>
      </x:c>
    </x:row>
    <x:row r="509">
      <x:c r="A509" t="n">
        <x:f>497</x:f>
        <x:v>497</x:v>
      </x:c>
      <x:c r="B509" t="n">
        <x:f>RAND()</x:f>
        <x:v>0.29753658213682577</x:v>
      </x:c>
      <x:c r="C509" t="n">
        <x:f>MIN(47,INT(B509*47)+1)</x:f>
        <x:v>14</x:v>
      </x:c>
      <x:c r="D509" t="n">
        <x:f>INDEX(Datos_47_semanas!$B$4:$B$50,C509)</x:f>
        <x:v>187</x:v>
      </x:c>
      <x:c r="E509" t="n">
        <x:f>MIN($B$4,D509)*$B$7+MAX($B$4-D509,0)*$B$9-$B$4*$B$8</x:f>
        <x:v>114.94999999999999</x:v>
      </x:c>
      <x:c r="F509" t="n">
        <x:f>MIN($B$5,D509)*$B$7+MAX($B$5-D509,0)*$B$9-$B$5*$B$8</x:f>
        <x:v>87.44999999999999</x:v>
      </x:c>
      <x:c r="G509" t="n">
        <x:f>MIN($B$6,D509)*$B$7+MAX($B$6-D509,0)*$B$9-$B$6*$B$8</x:f>
        <x:v>32.44999999999999</x:v>
      </x:c>
      <x:c r="H509" t="n">
        <x:f>MAX(D509-$B$5,0)</x:f>
        <x:v>0</x:v>
      </x:c>
      <x:c r="I509" t="n">
        <x:f>MAX($B$5-D509,0)</x:f>
        <x:v>113</x:v>
      </x:c>
    </x:row>
    <x:row r="510">
      <x:c r="A510" t="n">
        <x:f>498</x:f>
        <x:v>498</x:v>
      </x:c>
      <x:c r="B510" t="n">
        <x:f>RAND()</x:f>
        <x:v>0.07202742725441247</x:v>
      </x:c>
      <x:c r="C510" t="n">
        <x:f>MIN(47,INT(B510*47)+1)</x:f>
        <x:v>4</x:v>
      </x:c>
      <x:c r="D510" t="n">
        <x:f>INDEX(Datos_47_semanas!$B$4:$B$50,C510)</x:f>
        <x:v>161</x:v>
      </x:c>
      <x:c r="E510" t="n">
        <x:f>MIN($B$4,D510)*$B$7+MAX($B$4-D510,0)*$B$9-$B$4*$B$8</x:f>
        <x:v>79.84999999999997</x:v>
      </x:c>
      <x:c r="F510" t="n">
        <x:f>MIN($B$5,D510)*$B$7+MAX($B$5-D510,0)*$B$9-$B$5*$B$8</x:f>
        <x:v>52.349999999999966</x:v>
      </x:c>
      <x:c r="G510" t="n">
        <x:f>MIN($B$6,D510)*$B$7+MAX($B$6-D510,0)*$B$9-$B$6*$B$8</x:f>
        <x:v>-2.650000000000034</x:v>
      </x:c>
      <x:c r="H510" t="n">
        <x:f>MAX(D510-$B$5,0)</x:f>
        <x:v>0</x:v>
      </x:c>
      <x:c r="I510" t="n">
        <x:f>MAX($B$5-D510,0)</x:f>
        <x:v>139</x:v>
      </x:c>
    </x:row>
    <x:row r="511">
      <x:c r="A511" t="n">
        <x:f>499</x:f>
        <x:v>499</x:v>
      </x:c>
      <x:c r="B511" t="n">
        <x:f>RAND()</x:f>
        <x:v>0.6212252414871186</x:v>
      </x:c>
      <x:c r="C511" t="n">
        <x:f>MIN(47,INT(B511*47)+1)</x:f>
        <x:v>30</x:v>
      </x:c>
      <x:c r="D511" t="n">
        <x:f>INDEX(Datos_47_semanas!$B$4:$B$50,C511)</x:f>
        <x:v>345</x:v>
      </x:c>
      <x:c r="E511" t="n">
        <x:f>MIN($B$4,D511)*$B$7+MAX($B$4-D511,0)*$B$9-$B$4*$B$8</x:f>
        <x:v>200</x:v>
      </x:c>
      <x:c r="F511" t="n">
        <x:f>MIN($B$5,D511)*$B$7+MAX($B$5-D511,0)*$B$9-$B$5*$B$8</x:f>
        <x:v>240</x:v>
      </x:c>
      <x:c r="G511" t="n">
        <x:f>MIN($B$6,D511)*$B$7+MAX($B$6-D511,0)*$B$9-$B$6*$B$8</x:f>
        <x:v>245.75</x:v>
      </x:c>
      <x:c r="H511" t="n">
        <x:f>MAX(D511-$B$5,0)</x:f>
        <x:v>45</x:v>
      </x:c>
      <x:c r="I511" t="n">
        <x:f>MAX($B$5-D511,0)</x:f>
        <x:v>0</x:v>
      </x:c>
    </x:row>
    <x:row r="512">
      <x:c r="A512" t="n">
        <x:f>500</x:f>
        <x:v>500</x:v>
      </x:c>
      <x:c r="B512" t="n">
        <x:f>RAND()</x:f>
        <x:v>0.42366995348170455</x:v>
      </x:c>
      <x:c r="C512" t="n">
        <x:f>MIN(47,INT(B512*47)+1)</x:f>
        <x:v>20</x:v>
      </x:c>
      <x:c r="D512" t="n">
        <x:f>INDEX(Datos_47_semanas!$B$4:$B$50,C512)</x:f>
        <x:v>335</x:v>
      </x:c>
      <x:c r="E512" t="n">
        <x:f>MIN($B$4,D512)*$B$7+MAX($B$4-D512,0)*$B$9-$B$4*$B$8</x:f>
        <x:v>200</x:v>
      </x:c>
      <x:c r="F512" t="n">
        <x:f>MIN($B$5,D512)*$B$7+MAX($B$5-D512,0)*$B$9-$B$5*$B$8</x:f>
        <x:v>240</x:v>
      </x:c>
      <x:c r="G512" t="n">
        <x:f>MIN($B$6,D512)*$B$7+MAX($B$6-D512,0)*$B$9-$B$6*$B$8</x:f>
        <x:v>232.25</x:v>
      </x:c>
      <x:c r="H512" t="n">
        <x:f>MAX(D512-$B$5,0)</x:f>
        <x:v>35</x:v>
      </x:c>
      <x:c r="I512" t="n">
        <x:f>MAX($B$5-D512,0)</x:f>
        <x:v>0</x:v>
      </x:c>
    </x:row>
    <x:row r="513">
      <x:c r="A513" t="n">
        <x:f>501</x:f>
        <x:v>501</x:v>
      </x:c>
      <x:c r="B513" t="n">
        <x:f>RAND()</x:f>
        <x:v>0.83843234279571</x:v>
      </x:c>
      <x:c r="C513" t="n">
        <x:f>MIN(47,INT(B513*47)+1)</x:f>
        <x:v>40</x:v>
      </x:c>
      <x:c r="D513" t="n">
        <x:f>INDEX(Datos_47_semanas!$B$4:$B$50,C513)</x:f>
        <x:v>278</x:v>
      </x:c>
      <x:c r="E513" t="n">
        <x:f>MIN($B$4,D513)*$B$7+MAX($B$4-D513,0)*$B$9-$B$4*$B$8</x:f>
        <x:v>200</x:v>
      </x:c>
      <x:c r="F513" t="n">
        <x:f>MIN($B$5,D513)*$B$7+MAX($B$5-D513,0)*$B$9-$B$5*$B$8</x:f>
        <x:v>210.3</x:v>
      </x:c>
      <x:c r="G513" t="n">
        <x:f>MIN($B$6,D513)*$B$7+MAX($B$6-D513,0)*$B$9-$B$6*$B$8</x:f>
        <x:v>155.3</x:v>
      </x:c>
      <x:c r="H513" t="n">
        <x:f>MAX(D513-$B$5,0)</x:f>
        <x:v>0</x:v>
      </x:c>
      <x:c r="I513" t="n">
        <x:f>MAX($B$5-D513,0)</x:f>
        <x:v>22</x:v>
      </x:c>
    </x:row>
    <x:row r="514">
      <x:c r="A514" t="n">
        <x:f>502</x:f>
        <x:v>502</x:v>
      </x:c>
      <x:c r="B514" t="n">
        <x:f>RAND()</x:f>
        <x:v>0.3294313732399513</x:v>
      </x:c>
      <x:c r="C514" t="n">
        <x:f>MIN(47,INT(B514*47)+1)</x:f>
        <x:v>16</x:v>
      </x:c>
      <x:c r="D514" t="n">
        <x:f>INDEX(Datos_47_semanas!$B$4:$B$50,C514)</x:f>
        <x:v>318</x:v>
      </x:c>
      <x:c r="E514" t="n">
        <x:f>MIN($B$4,D514)*$B$7+MAX($B$4-D514,0)*$B$9-$B$4*$B$8</x:f>
        <x:v>200</x:v>
      </x:c>
      <x:c r="F514" t="n">
        <x:f>MIN($B$5,D514)*$B$7+MAX($B$5-D514,0)*$B$9-$B$5*$B$8</x:f>
        <x:v>240</x:v>
      </x:c>
      <x:c r="G514" t="n">
        <x:f>MIN($B$6,D514)*$B$7+MAX($B$6-D514,0)*$B$9-$B$6*$B$8</x:f>
        <x:v>209.29999999999995</x:v>
      </x:c>
      <x:c r="H514" t="n">
        <x:f>MAX(D514-$B$5,0)</x:f>
        <x:v>18</x:v>
      </x:c>
      <x:c r="I514" t="n">
        <x:f>MAX($B$5-D514,0)</x:f>
        <x:v>0</x:v>
      </x:c>
    </x:row>
    <x:row r="515">
      <x:c r="A515" t="n">
        <x:f>503</x:f>
        <x:v>503</x:v>
      </x:c>
      <x:c r="B515" t="n">
        <x:f>RAND()</x:f>
        <x:v>0.9729510141949144</x:v>
      </x:c>
      <x:c r="C515" t="n">
        <x:f>MIN(47,INT(B515*47)+1)</x:f>
        <x:v>46</x:v>
      </x:c>
      <x:c r="D515" t="n">
        <x:f>INDEX(Datos_47_semanas!$B$4:$B$50,C515)</x:f>
        <x:v>449</x:v>
      </x:c>
      <x:c r="E515" t="n">
        <x:f>MIN($B$4,D515)*$B$7+MAX($B$4-D515,0)*$B$9-$B$4*$B$8</x:f>
        <x:v>200</x:v>
      </x:c>
      <x:c r="F515" t="n">
        <x:f>MIN($B$5,D515)*$B$7+MAX($B$5-D515,0)*$B$9-$B$5*$B$8</x:f>
        <x:v>240</x:v>
      </x:c>
      <x:c r="G515" t="n">
        <x:f>MIN($B$6,D515)*$B$7+MAX($B$6-D515,0)*$B$9-$B$6*$B$8</x:f>
        <x:v>320</x:v>
      </x:c>
      <x:c r="H515" t="n">
        <x:f>MAX(D515-$B$5,0)</x:f>
        <x:v>149</x:v>
      </x:c>
      <x:c r="I515" t="n">
        <x:f>MAX($B$5-D515,0)</x:f>
        <x:v>0</x:v>
      </x:c>
    </x:row>
    <x:row r="516">
      <x:c r="A516" t="n">
        <x:f>504</x:f>
        <x:v>504</x:v>
      </x:c>
      <x:c r="B516" t="n">
        <x:f>RAND()</x:f>
        <x:v>0.7480025601172545</x:v>
      </x:c>
      <x:c r="C516" t="n">
        <x:f>MIN(47,INT(B516*47)+1)</x:f>
        <x:v>36</x:v>
      </x:c>
      <x:c r="D516" t="n">
        <x:f>INDEX(Datos_47_semanas!$B$4:$B$50,C516)</x:f>
        <x:v>304</x:v>
      </x:c>
      <x:c r="E516" t="n">
        <x:f>MIN($B$4,D516)*$B$7+MAX($B$4-D516,0)*$B$9-$B$4*$B$8</x:f>
        <x:v>200</x:v>
      </x:c>
      <x:c r="F516" t="n">
        <x:f>MIN($B$5,D516)*$B$7+MAX($B$5-D516,0)*$B$9-$B$5*$B$8</x:f>
        <x:v>240</x:v>
      </x:c>
      <x:c r="G516" t="n">
        <x:f>MIN($B$6,D516)*$B$7+MAX($B$6-D516,0)*$B$9-$B$6*$B$8</x:f>
        <x:v>190.39999999999998</x:v>
      </x:c>
      <x:c r="H516" t="n">
        <x:f>MAX(D516-$B$5,0)</x:f>
        <x:v>4</x:v>
      </x:c>
      <x:c r="I516" t="n">
        <x:f>MAX($B$5-D516,0)</x:f>
        <x:v>0</x:v>
      </x:c>
    </x:row>
    <x:row r="517">
      <x:c r="A517" t="n">
        <x:f>505</x:f>
        <x:v>505</x:v>
      </x:c>
      <x:c r="B517" t="n">
        <x:f>RAND()</x:f>
        <x:v>0.6446001521926787</x:v>
      </x:c>
      <x:c r="C517" t="n">
        <x:f>MIN(47,INT(B517*47)+1)</x:f>
        <x:v>31</x:v>
      </x:c>
      <x:c r="D517" t="n">
        <x:f>INDEX(Datos_47_semanas!$B$4:$B$50,C517)</x:f>
        <x:v>583</x:v>
      </x:c>
      <x:c r="E517" t="n">
        <x:f>MIN($B$4,D517)*$B$7+MAX($B$4-D517,0)*$B$9-$B$4*$B$8</x:f>
        <x:v>200</x:v>
      </x:c>
      <x:c r="F517" t="n">
        <x:f>MIN($B$5,D517)*$B$7+MAX($B$5-D517,0)*$B$9-$B$5*$B$8</x:f>
        <x:v>240</x:v>
      </x:c>
      <x:c r="G517" t="n">
        <x:f>MIN($B$6,D517)*$B$7+MAX($B$6-D517,0)*$B$9-$B$6*$B$8</x:f>
        <x:v>320</x:v>
      </x:c>
      <x:c r="H517" t="n">
        <x:f>MAX(D517-$B$5,0)</x:f>
        <x:v>283</x:v>
      </x:c>
      <x:c r="I517" t="n">
        <x:f>MAX($B$5-D517,0)</x:f>
        <x:v>0</x:v>
      </x:c>
    </x:row>
    <x:row r="518">
      <x:c r="A518" t="n">
        <x:f>506</x:f>
        <x:v>506</x:v>
      </x:c>
      <x:c r="B518" t="n">
        <x:f>RAND()</x:f>
        <x:v>0.3671351658569555</x:v>
      </x:c>
      <x:c r="C518" t="n">
        <x:f>MIN(47,INT(B518*47)+1)</x:f>
        <x:v>18</x:v>
      </x:c>
      <x:c r="D518" t="n">
        <x:f>INDEX(Datos_47_semanas!$B$4:$B$50,C518)</x:f>
        <x:v>219</x:v>
      </x:c>
      <x:c r="E518" t="n">
        <x:f>MIN($B$4,D518)*$B$7+MAX($B$4-D518,0)*$B$9-$B$4*$B$8</x:f>
        <x:v>158.14999999999998</x:v>
      </x:c>
      <x:c r="F518" t="n">
        <x:f>MIN($B$5,D518)*$B$7+MAX($B$5-D518,0)*$B$9-$B$5*$B$8</x:f>
        <x:v>130.64999999999998</x:v>
      </x:c>
      <x:c r="G518" t="n">
        <x:f>MIN($B$6,D518)*$B$7+MAX($B$6-D518,0)*$B$9-$B$6*$B$8</x:f>
        <x:v>75.64999999999998</x:v>
      </x:c>
      <x:c r="H518" t="n">
        <x:f>MAX(D518-$B$5,0)</x:f>
        <x:v>0</x:v>
      </x:c>
      <x:c r="I518" t="n">
        <x:f>MAX($B$5-D518,0)</x:f>
        <x:v>81</x:v>
      </x:c>
    </x:row>
    <x:row r="519">
      <x:c r="A519" t="n">
        <x:f>507</x:f>
        <x:v>507</x:v>
      </x:c>
      <x:c r="B519" t="n">
        <x:f>RAND()</x:f>
        <x:v>0.7150959689531312</x:v>
      </x:c>
      <x:c r="C519" t="n">
        <x:f>MIN(47,INT(B519*47)+1)</x:f>
        <x:v>34</x:v>
      </x:c>
      <x:c r="D519" t="n">
        <x:f>INDEX(Datos_47_semanas!$B$4:$B$50,C519)</x:f>
        <x:v>281</x:v>
      </x:c>
      <x:c r="E519" t="n">
        <x:f>MIN($B$4,D519)*$B$7+MAX($B$4-D519,0)*$B$9-$B$4*$B$8</x:f>
        <x:v>200</x:v>
      </x:c>
      <x:c r="F519" t="n">
        <x:f>MIN($B$5,D519)*$B$7+MAX($B$5-D519,0)*$B$9-$B$5*$B$8</x:f>
        <x:v>214.34999999999997</x:v>
      </x:c>
      <x:c r="G519" t="n">
        <x:f>MIN($B$6,D519)*$B$7+MAX($B$6-D519,0)*$B$9-$B$6*$B$8</x:f>
        <x:v>159.34999999999997</x:v>
      </x:c>
      <x:c r="H519" t="n">
        <x:f>MAX(D519-$B$5,0)</x:f>
        <x:v>0</x:v>
      </x:c>
      <x:c r="I519" t="n">
        <x:f>MAX($B$5-D519,0)</x:f>
        <x:v>19</x:v>
      </x:c>
    </x:row>
    <x:row r="520">
      <x:c r="A520" t="n">
        <x:f>508</x:f>
        <x:v>508</x:v>
      </x:c>
      <x:c r="B520" t="n">
        <x:f>RAND()</x:f>
        <x:v>0.3882701841771248</x:v>
      </x:c>
      <x:c r="C520" t="n">
        <x:f>MIN(47,INT(B520*47)+1)</x:f>
        <x:v>19</x:v>
      </x:c>
      <x:c r="D520" t="n">
        <x:f>INDEX(Datos_47_semanas!$B$4:$B$50,C520)</x:f>
        <x:v>470</x:v>
      </x:c>
      <x:c r="E520" t="n">
        <x:f>MIN($B$4,D520)*$B$7+MAX($B$4-D520,0)*$B$9-$B$4*$B$8</x:f>
        <x:v>200</x:v>
      </x:c>
      <x:c r="F520" t="n">
        <x:f>MIN($B$5,D520)*$B$7+MAX($B$5-D520,0)*$B$9-$B$5*$B$8</x:f>
        <x:v>240</x:v>
      </x:c>
      <x:c r="G520" t="n">
        <x:f>MIN($B$6,D520)*$B$7+MAX($B$6-D520,0)*$B$9-$B$6*$B$8</x:f>
        <x:v>320</x:v>
      </x:c>
      <x:c r="H520" t="n">
        <x:f>MAX(D520-$B$5,0)</x:f>
        <x:v>170</x:v>
      </x:c>
      <x:c r="I520" t="n">
        <x:f>MAX($B$5-D520,0)</x:f>
        <x:v>0</x:v>
      </x:c>
    </x:row>
    <x:row r="521">
      <x:c r="A521" t="n">
        <x:f>509</x:f>
        <x:v>509</x:v>
      </x:c>
      <x:c r="B521" t="n">
        <x:f>RAND()</x:f>
        <x:v>0.41311109231262877</x:v>
      </x:c>
      <x:c r="C521" t="n">
        <x:f>MIN(47,INT(B521*47)+1)</x:f>
        <x:v>20</x:v>
      </x:c>
      <x:c r="D521" t="n">
        <x:f>INDEX(Datos_47_semanas!$B$4:$B$50,C521)</x:f>
        <x:v>335</x:v>
      </x:c>
      <x:c r="E521" t="n">
        <x:f>MIN($B$4,D521)*$B$7+MAX($B$4-D521,0)*$B$9-$B$4*$B$8</x:f>
        <x:v>200</x:v>
      </x:c>
      <x:c r="F521" t="n">
        <x:f>MIN($B$5,D521)*$B$7+MAX($B$5-D521,0)*$B$9-$B$5*$B$8</x:f>
        <x:v>240</x:v>
      </x:c>
      <x:c r="G521" t="n">
        <x:f>MIN($B$6,D521)*$B$7+MAX($B$6-D521,0)*$B$9-$B$6*$B$8</x:f>
        <x:v>232.25</x:v>
      </x:c>
      <x:c r="H521" t="n">
        <x:f>MAX(D521-$B$5,0)</x:f>
        <x:v>35</x:v>
      </x:c>
      <x:c r="I521" t="n">
        <x:f>MAX($B$5-D521,0)</x:f>
        <x:v>0</x:v>
      </x:c>
    </x:row>
    <x:row r="522">
      <x:c r="A522" t="n">
        <x:f>510</x:f>
        <x:v>510</x:v>
      </x:c>
      <x:c r="B522" t="n">
        <x:f>RAND()</x:f>
        <x:v>0.4415036623004738</x:v>
      </x:c>
      <x:c r="C522" t="n">
        <x:f>MIN(47,INT(B522*47)+1)</x:f>
        <x:v>21</x:v>
      </x:c>
      <x:c r="D522" t="n">
        <x:f>INDEX(Datos_47_semanas!$B$4:$B$50,C522)</x:f>
        <x:v>424</x:v>
      </x:c>
      <x:c r="E522" t="n">
        <x:f>MIN($B$4,D522)*$B$7+MAX($B$4-D522,0)*$B$9-$B$4*$B$8</x:f>
        <x:v>200</x:v>
      </x:c>
      <x:c r="F522" t="n">
        <x:f>MIN($B$5,D522)*$B$7+MAX($B$5-D522,0)*$B$9-$B$5*$B$8</x:f>
        <x:v>240</x:v>
      </x:c>
      <x:c r="G522" t="n">
        <x:f>MIN($B$6,D522)*$B$7+MAX($B$6-D522,0)*$B$9-$B$6*$B$8</x:f>
        <x:v>320</x:v>
      </x:c>
      <x:c r="H522" t="n">
        <x:f>MAX(D522-$B$5,0)</x:f>
        <x:v>124</x:v>
      </x:c>
      <x:c r="I522" t="n">
        <x:f>MAX($B$5-D522,0)</x:f>
        <x:v>0</x:v>
      </x:c>
    </x:row>
    <x:row r="523">
      <x:c r="A523" t="n">
        <x:f>511</x:f>
        <x:v>511</x:v>
      </x:c>
      <x:c r="B523" t="n">
        <x:f>RAND()</x:f>
        <x:v>0.07059122828110731</x:v>
      </x:c>
      <x:c r="C523" t="n">
        <x:f>MIN(47,INT(B523*47)+1)</x:f>
        <x:v>4</x:v>
      </x:c>
      <x:c r="D523" t="n">
        <x:f>INDEX(Datos_47_semanas!$B$4:$B$50,C523)</x:f>
        <x:v>161</x:v>
      </x:c>
      <x:c r="E523" t="n">
        <x:f>MIN($B$4,D523)*$B$7+MAX($B$4-D523,0)*$B$9-$B$4*$B$8</x:f>
        <x:v>79.84999999999997</x:v>
      </x:c>
      <x:c r="F523" t="n">
        <x:f>MIN($B$5,D523)*$B$7+MAX($B$5-D523,0)*$B$9-$B$5*$B$8</x:f>
        <x:v>52.349999999999966</x:v>
      </x:c>
      <x:c r="G523" t="n">
        <x:f>MIN($B$6,D523)*$B$7+MAX($B$6-D523,0)*$B$9-$B$6*$B$8</x:f>
        <x:v>-2.650000000000034</x:v>
      </x:c>
      <x:c r="H523" t="n">
        <x:f>MAX(D523-$B$5,0)</x:f>
        <x:v>0</x:v>
      </x:c>
      <x:c r="I523" t="n">
        <x:f>MAX($B$5-D523,0)</x:f>
        <x:v>139</x:v>
      </x:c>
    </x:row>
    <x:row r="524">
      <x:c r="A524" t="n">
        <x:f>512</x:f>
        <x:v>512</x:v>
      </x:c>
      <x:c r="B524" t="n">
        <x:f>RAND()</x:f>
        <x:v>0.7141723172398592</x:v>
      </x:c>
      <x:c r="C524" t="n">
        <x:f>MIN(47,INT(B524*47)+1)</x:f>
        <x:v>34</x:v>
      </x:c>
      <x:c r="D524" t="n">
        <x:f>INDEX(Datos_47_semanas!$B$4:$B$50,C524)</x:f>
        <x:v>281</x:v>
      </x:c>
      <x:c r="E524" t="n">
        <x:f>MIN($B$4,D524)*$B$7+MAX($B$4-D524,0)*$B$9-$B$4*$B$8</x:f>
        <x:v>200</x:v>
      </x:c>
      <x:c r="F524" t="n">
        <x:f>MIN($B$5,D524)*$B$7+MAX($B$5-D524,0)*$B$9-$B$5*$B$8</x:f>
        <x:v>214.34999999999997</x:v>
      </x:c>
      <x:c r="G524" t="n">
        <x:f>MIN($B$6,D524)*$B$7+MAX($B$6-D524,0)*$B$9-$B$6*$B$8</x:f>
        <x:v>159.34999999999997</x:v>
      </x:c>
      <x:c r="H524" t="n">
        <x:f>MAX(D524-$B$5,0)</x:f>
        <x:v>0</x:v>
      </x:c>
      <x:c r="I524" t="n">
        <x:f>MAX($B$5-D524,0)</x:f>
        <x:v>19</x:v>
      </x:c>
    </x:row>
    <x:row r="525">
      <x:c r="A525" t="n">
        <x:f>513</x:f>
        <x:v>513</x:v>
      </x:c>
      <x:c r="B525" t="n">
        <x:f>RAND()</x:f>
        <x:v>0.5710116826556569</x:v>
      </x:c>
      <x:c r="C525" t="n">
        <x:f>MIN(47,INT(B525*47)+1)</x:f>
        <x:v>27</x:v>
      </x:c>
      <x:c r="D525" t="n">
        <x:f>INDEX(Datos_47_semanas!$B$4:$B$50,C525)</x:f>
        <x:v>293</x:v>
      </x:c>
      <x:c r="E525" t="n">
        <x:f>MIN($B$4,D525)*$B$7+MAX($B$4-D525,0)*$B$9-$B$4*$B$8</x:f>
        <x:v>200</x:v>
      </x:c>
      <x:c r="F525" t="n">
        <x:f>MIN($B$5,D525)*$B$7+MAX($B$5-D525,0)*$B$9-$B$5*$B$8</x:f>
        <x:v>230.55</x:v>
      </x:c>
      <x:c r="G525" t="n">
        <x:f>MIN($B$6,D525)*$B$7+MAX($B$6-D525,0)*$B$9-$B$6*$B$8</x:f>
        <x:v>175.54999999999995</x:v>
      </x:c>
      <x:c r="H525" t="n">
        <x:f>MAX(D525-$B$5,0)</x:f>
        <x:v>0</x:v>
      </x:c>
      <x:c r="I525" t="n">
        <x:f>MAX($B$5-D525,0)</x:f>
        <x:v>7</x:v>
      </x:c>
    </x:row>
    <x:row r="526">
      <x:c r="A526" t="n">
        <x:f>514</x:f>
        <x:v>514</x:v>
      </x:c>
      <x:c r="B526" t="n">
        <x:f>RAND()</x:f>
        <x:v>0.21895250298511526</x:v>
      </x:c>
      <x:c r="C526" t="n">
        <x:f>MIN(47,INT(B526*47)+1)</x:f>
        <x:v>11</x:v>
      </x:c>
      <x:c r="D526" t="n">
        <x:f>INDEX(Datos_47_semanas!$B$4:$B$50,C526)</x:f>
        <x:v>268</x:v>
      </x:c>
      <x:c r="E526" t="n">
        <x:f>MIN($B$4,D526)*$B$7+MAX($B$4-D526,0)*$B$9-$B$4*$B$8</x:f>
        <x:v>200</x:v>
      </x:c>
      <x:c r="F526" t="n">
        <x:f>MIN($B$5,D526)*$B$7+MAX($B$5-D526,0)*$B$9-$B$5*$B$8</x:f>
        <x:v>196.8</x:v>
      </x:c>
      <x:c r="G526" t="n">
        <x:f>MIN($B$6,D526)*$B$7+MAX($B$6-D526,0)*$B$9-$B$6*$B$8</x:f>
        <x:v>141.8</x:v>
      </x:c>
      <x:c r="H526" t="n">
        <x:f>MAX(D526-$B$5,0)</x:f>
        <x:v>0</x:v>
      </x:c>
      <x:c r="I526" t="n">
        <x:f>MAX($B$5-D526,0)</x:f>
        <x:v>32</x:v>
      </x:c>
    </x:row>
    <x:row r="527">
      <x:c r="A527" t="n">
        <x:f>515</x:f>
        <x:v>515</x:v>
      </x:c>
      <x:c r="B527" t="n">
        <x:f>RAND()</x:f>
        <x:v>0.8990064634723993</x:v>
      </x:c>
      <x:c r="C527" t="n">
        <x:f>MIN(47,INT(B527*47)+1)</x:f>
        <x:v>43</x:v>
      </x:c>
      <x:c r="D527" t="n">
        <x:f>INDEX(Datos_47_semanas!$B$4:$B$50,C527)</x:f>
        <x:v>234</x:v>
      </x:c>
      <x:c r="E527" t="n">
        <x:f>MIN($B$4,D527)*$B$7+MAX($B$4-D527,0)*$B$9-$B$4*$B$8</x:f>
        <x:v>178.39999999999998</x:v>
      </x:c>
      <x:c r="F527" t="n">
        <x:f>MIN($B$5,D527)*$B$7+MAX($B$5-D527,0)*$B$9-$B$5*$B$8</x:f>
        <x:v>150.89999999999998</x:v>
      </x:c>
      <x:c r="G527" t="n">
        <x:f>MIN($B$6,D527)*$B$7+MAX($B$6-D527,0)*$B$9-$B$6*$B$8</x:f>
        <x:v>95.89999999999998</x:v>
      </x:c>
      <x:c r="H527" t="n">
        <x:f>MAX(D527-$B$5,0)</x:f>
        <x:v>0</x:v>
      </x:c>
      <x:c r="I527" t="n">
        <x:f>MAX($B$5-D527,0)</x:f>
        <x:v>66</x:v>
      </x:c>
    </x:row>
    <x:row r="528">
      <x:c r="A528" t="n">
        <x:f>516</x:f>
        <x:v>516</x:v>
      </x:c>
      <x:c r="B528" t="n">
        <x:f>RAND()</x:f>
        <x:v>0.6452435421998456</x:v>
      </x:c>
      <x:c r="C528" t="n">
        <x:f>MIN(47,INT(B528*47)+1)</x:f>
        <x:v>31</x:v>
      </x:c>
      <x:c r="D528" t="n">
        <x:f>INDEX(Datos_47_semanas!$B$4:$B$50,C528)</x:f>
        <x:v>583</x:v>
      </x:c>
      <x:c r="E528" t="n">
        <x:f>MIN($B$4,D528)*$B$7+MAX($B$4-D528,0)*$B$9-$B$4*$B$8</x:f>
        <x:v>200</x:v>
      </x:c>
      <x:c r="F528" t="n">
        <x:f>MIN($B$5,D528)*$B$7+MAX($B$5-D528,0)*$B$9-$B$5*$B$8</x:f>
        <x:v>240</x:v>
      </x:c>
      <x:c r="G528" t="n">
        <x:f>MIN($B$6,D528)*$B$7+MAX($B$6-D528,0)*$B$9-$B$6*$B$8</x:f>
        <x:v>320</x:v>
      </x:c>
      <x:c r="H528" t="n">
        <x:f>MAX(D528-$B$5,0)</x:f>
        <x:v>283</x:v>
      </x:c>
      <x:c r="I528" t="n">
        <x:f>MAX($B$5-D528,0)</x:f>
        <x:v>0</x:v>
      </x:c>
    </x:row>
    <x:row r="529">
      <x:c r="A529" t="n">
        <x:f>517</x:f>
        <x:v>517</x:v>
      </x:c>
      <x:c r="B529" t="n">
        <x:f>RAND()</x:f>
        <x:v>0.6766855110251985</x:v>
      </x:c>
      <x:c r="C529" t="n">
        <x:f>MIN(47,INT(B529*47)+1)</x:f>
        <x:v>32</x:v>
      </x:c>
      <x:c r="D529" t="n">
        <x:f>INDEX(Datos_47_semanas!$B$4:$B$50,C529)</x:f>
        <x:v>575</x:v>
      </x:c>
      <x:c r="E529" t="n">
        <x:f>MIN($B$4,D529)*$B$7+MAX($B$4-D529,0)*$B$9-$B$4*$B$8</x:f>
        <x:v>200</x:v>
      </x:c>
      <x:c r="F529" t="n">
        <x:f>MIN($B$5,D529)*$B$7+MAX($B$5-D529,0)*$B$9-$B$5*$B$8</x:f>
        <x:v>240</x:v>
      </x:c>
      <x:c r="G529" t="n">
        <x:f>MIN($B$6,D529)*$B$7+MAX($B$6-D529,0)*$B$9-$B$6*$B$8</x:f>
        <x:v>320</x:v>
      </x:c>
      <x:c r="H529" t="n">
        <x:f>MAX(D529-$B$5,0)</x:f>
        <x:v>275</x:v>
      </x:c>
      <x:c r="I529" t="n">
        <x:f>MAX($B$5-D529,0)</x:f>
        <x:v>0</x:v>
      </x:c>
    </x:row>
    <x:row r="530">
      <x:c r="A530" t="n">
        <x:f>518</x:f>
        <x:v>518</x:v>
      </x:c>
      <x:c r="B530" t="n">
        <x:f>RAND()</x:f>
        <x:v>0.005164898914594596</x:v>
      </x:c>
      <x:c r="C530" t="n">
        <x:f>MIN(47,INT(B530*47)+1)</x:f>
        <x:v>1</x:v>
      </x:c>
      <x:c r="D530" t="n">
        <x:f>INDEX(Datos_47_semanas!$B$4:$B$50,C530)</x:f>
        <x:v>418</x:v>
      </x:c>
      <x:c r="E530" t="n">
        <x:f>MIN($B$4,D530)*$B$7+MAX($B$4-D530,0)*$B$9-$B$4*$B$8</x:f>
        <x:v>200</x:v>
      </x:c>
      <x:c r="F530" t="n">
        <x:f>MIN($B$5,D530)*$B$7+MAX($B$5-D530,0)*$B$9-$B$5*$B$8</x:f>
        <x:v>240</x:v>
      </x:c>
      <x:c r="G530" t="n">
        <x:f>MIN($B$6,D530)*$B$7+MAX($B$6-D530,0)*$B$9-$B$6*$B$8</x:f>
        <x:v>320</x:v>
      </x:c>
      <x:c r="H530" t="n">
        <x:f>MAX(D530-$B$5,0)</x:f>
        <x:v>118</x:v>
      </x:c>
      <x:c r="I530" t="n">
        <x:f>MAX($B$5-D530,0)</x:f>
        <x:v>0</x:v>
      </x:c>
    </x:row>
    <x:row r="531">
      <x:c r="A531" t="n">
        <x:f>519</x:f>
        <x:v>519</x:v>
      </x:c>
      <x:c r="B531" t="n">
        <x:f>RAND()</x:f>
        <x:v>0.839253036370768</x:v>
      </x:c>
      <x:c r="C531" t="n">
        <x:f>MIN(47,INT(B531*47)+1)</x:f>
        <x:v>40</x:v>
      </x:c>
      <x:c r="D531" t="n">
        <x:f>INDEX(Datos_47_semanas!$B$4:$B$50,C531)</x:f>
        <x:v>278</x:v>
      </x:c>
      <x:c r="E531" t="n">
        <x:f>MIN($B$4,D531)*$B$7+MAX($B$4-D531,0)*$B$9-$B$4*$B$8</x:f>
        <x:v>200</x:v>
      </x:c>
      <x:c r="F531" t="n">
        <x:f>MIN($B$5,D531)*$B$7+MAX($B$5-D531,0)*$B$9-$B$5*$B$8</x:f>
        <x:v>210.3</x:v>
      </x:c>
      <x:c r="G531" t="n">
        <x:f>MIN($B$6,D531)*$B$7+MAX($B$6-D531,0)*$B$9-$B$6*$B$8</x:f>
        <x:v>155.3</x:v>
      </x:c>
      <x:c r="H531" t="n">
        <x:f>MAX(D531-$B$5,0)</x:f>
        <x:v>0</x:v>
      </x:c>
      <x:c r="I531" t="n">
        <x:f>MAX($B$5-D531,0)</x:f>
        <x:v>22</x:v>
      </x:c>
    </x:row>
    <x:row r="532">
      <x:c r="A532" t="n">
        <x:f>520</x:f>
        <x:v>520</x:v>
      </x:c>
      <x:c r="B532" t="n">
        <x:f>RAND()</x:f>
        <x:v>0.3254065895987952</x:v>
      </x:c>
      <x:c r="C532" t="n">
        <x:f>MIN(47,INT(B532*47)+1)</x:f>
        <x:v>16</x:v>
      </x:c>
      <x:c r="D532" t="n">
        <x:f>INDEX(Datos_47_semanas!$B$4:$B$50,C532)</x:f>
        <x:v>318</x:v>
      </x:c>
      <x:c r="E532" t="n">
        <x:f>MIN($B$4,D532)*$B$7+MAX($B$4-D532,0)*$B$9-$B$4*$B$8</x:f>
        <x:v>200</x:v>
      </x:c>
      <x:c r="F532" t="n">
        <x:f>MIN($B$5,D532)*$B$7+MAX($B$5-D532,0)*$B$9-$B$5*$B$8</x:f>
        <x:v>240</x:v>
      </x:c>
      <x:c r="G532" t="n">
        <x:f>MIN($B$6,D532)*$B$7+MAX($B$6-D532,0)*$B$9-$B$6*$B$8</x:f>
        <x:v>209.29999999999995</x:v>
      </x:c>
      <x:c r="H532" t="n">
        <x:f>MAX(D532-$B$5,0)</x:f>
        <x:v>18</x:v>
      </x:c>
      <x:c r="I532" t="n">
        <x:f>MAX($B$5-D532,0)</x:f>
        <x:v>0</x:v>
      </x:c>
    </x:row>
    <x:row r="533">
      <x:c r="A533" t="n">
        <x:f>521</x:f>
        <x:v>521</x:v>
      </x:c>
      <x:c r="B533" t="n">
        <x:f>RAND()</x:f>
        <x:v>0.25264830459484877</x:v>
      </x:c>
      <x:c r="C533" t="n">
        <x:f>MIN(47,INT(B533*47)+1)</x:f>
        <x:v>12</x:v>
      </x:c>
      <x:c r="D533" t="n">
        <x:f>INDEX(Datos_47_semanas!$B$4:$B$50,C533)</x:f>
        <x:v>336</x:v>
      </x:c>
      <x:c r="E533" t="n">
        <x:f>MIN($B$4,D533)*$B$7+MAX($B$4-D533,0)*$B$9-$B$4*$B$8</x:f>
        <x:v>200</x:v>
      </x:c>
      <x:c r="F533" t="n">
        <x:f>MIN($B$5,D533)*$B$7+MAX($B$5-D533,0)*$B$9-$B$5*$B$8</x:f>
        <x:v>240</x:v>
      </x:c>
      <x:c r="G533" t="n">
        <x:f>MIN($B$6,D533)*$B$7+MAX($B$6-D533,0)*$B$9-$B$6*$B$8</x:f>
        <x:v>233.60000000000002</x:v>
      </x:c>
      <x:c r="H533" t="n">
        <x:f>MAX(D533-$B$5,0)</x:f>
        <x:v>36</x:v>
      </x:c>
      <x:c r="I533" t="n">
        <x:f>MAX($B$5-D533,0)</x:f>
        <x:v>0</x:v>
      </x:c>
    </x:row>
    <x:row r="534">
      <x:c r="A534" t="n">
        <x:f>522</x:f>
        <x:v>522</x:v>
      </x:c>
      <x:c r="B534" t="n">
        <x:f>RAND()</x:f>
        <x:v>0.5868400668996713</x:v>
      </x:c>
      <x:c r="C534" t="n">
        <x:f>MIN(47,INT(B534*47)+1)</x:f>
        <x:v>28</x:v>
      </x:c>
      <x:c r="D534" t="n">
        <x:f>INDEX(Datos_47_semanas!$B$4:$B$50,C534)</x:f>
        <x:v>201</x:v>
      </x:c>
      <x:c r="E534" t="n">
        <x:f>MIN($B$4,D534)*$B$7+MAX($B$4-D534,0)*$B$9-$B$4*$B$8</x:f>
        <x:v>133.84999999999997</x:v>
      </x:c>
      <x:c r="F534" t="n">
        <x:f>MIN($B$5,D534)*$B$7+MAX($B$5-D534,0)*$B$9-$B$5*$B$8</x:f>
        <x:v>106.34999999999997</x:v>
      </x:c>
      <x:c r="G534" t="n">
        <x:f>MIN($B$6,D534)*$B$7+MAX($B$6-D534,0)*$B$9-$B$6*$B$8</x:f>
        <x:v>51.349999999999966</x:v>
      </x:c>
      <x:c r="H534" t="n">
        <x:f>MAX(D534-$B$5,0)</x:f>
        <x:v>0</x:v>
      </x:c>
      <x:c r="I534" t="n">
        <x:f>MAX($B$5-D534,0)</x:f>
        <x:v>99</x:v>
      </x:c>
    </x:row>
    <x:row r="535">
      <x:c r="A535" t="n">
        <x:f>523</x:f>
        <x:v>523</x:v>
      </x:c>
      <x:c r="B535" t="n">
        <x:f>RAND()</x:f>
        <x:v>0.7305174361329323</x:v>
      </x:c>
      <x:c r="C535" t="n">
        <x:f>MIN(47,INT(B535*47)+1)</x:f>
        <x:v>35</x:v>
      </x:c>
      <x:c r="D535" t="n">
        <x:f>INDEX(Datos_47_semanas!$B$4:$B$50,C535)</x:f>
        <x:v>192</x:v>
      </x:c>
      <x:c r="E535" t="n">
        <x:f>MIN($B$4,D535)*$B$7+MAX($B$4-D535,0)*$B$9-$B$4*$B$8</x:f>
        <x:v>121.69999999999993</x:v>
      </x:c>
      <x:c r="F535" t="n">
        <x:f>MIN($B$5,D535)*$B$7+MAX($B$5-D535,0)*$B$9-$B$5*$B$8</x:f>
        <x:v>94.19999999999993</x:v>
      </x:c>
      <x:c r="G535" t="n">
        <x:f>MIN($B$6,D535)*$B$7+MAX($B$6-D535,0)*$B$9-$B$6*$B$8</x:f>
        <x:v>39.19999999999993</x:v>
      </x:c>
      <x:c r="H535" t="n">
        <x:f>MAX(D535-$B$5,0)</x:f>
        <x:v>0</x:v>
      </x:c>
      <x:c r="I535" t="n">
        <x:f>MAX($B$5-D535,0)</x:f>
        <x:v>108</x:v>
      </x:c>
    </x:row>
    <x:row r="536">
      <x:c r="A536" t="n">
        <x:f>524</x:f>
        <x:v>524</x:v>
      </x:c>
      <x:c r="B536" t="n">
        <x:f>RAND()</x:f>
        <x:v>0.9186454944623192</x:v>
      </x:c>
      <x:c r="C536" t="n">
        <x:f>MIN(47,INT(B536*47)+1)</x:f>
        <x:v>44</x:v>
      </x:c>
      <x:c r="D536" t="n">
        <x:f>INDEX(Datos_47_semanas!$B$4:$B$50,C536)</x:f>
        <x:v>223</x:v>
      </x:c>
      <x:c r="E536" t="n">
        <x:f>MIN($B$4,D536)*$B$7+MAX($B$4-D536,0)*$B$9-$B$4*$B$8</x:f>
        <x:v>163.55</x:v>
      </x:c>
      <x:c r="F536" t="n">
        <x:f>MIN($B$5,D536)*$B$7+MAX($B$5-D536,0)*$B$9-$B$5*$B$8</x:f>
        <x:v>136.05</x:v>
      </x:c>
      <x:c r="G536" t="n">
        <x:f>MIN($B$6,D536)*$B$7+MAX($B$6-D536,0)*$B$9-$B$6*$B$8</x:f>
        <x:v>81.05000000000001</x:v>
      </x:c>
      <x:c r="H536" t="n">
        <x:f>MAX(D536-$B$5,0)</x:f>
        <x:v>0</x:v>
      </x:c>
      <x:c r="I536" t="n">
        <x:f>MAX($B$5-D536,0)</x:f>
        <x:v>77</x:v>
      </x:c>
    </x:row>
    <x:row r="537">
      <x:c r="A537" t="n">
        <x:f>525</x:f>
        <x:v>525</x:v>
      </x:c>
      <x:c r="B537" t="n">
        <x:f>RAND()</x:f>
        <x:v>0.2586684025166177</x:v>
      </x:c>
      <x:c r="C537" t="n">
        <x:f>MIN(47,INT(B537*47)+1)</x:f>
        <x:v>13</x:v>
      </x:c>
      <x:c r="D537" t="n">
        <x:f>INDEX(Datos_47_semanas!$B$4:$B$50,C537)</x:f>
        <x:v>517</x:v>
      </x:c>
      <x:c r="E537" t="n">
        <x:f>MIN($B$4,D537)*$B$7+MAX($B$4-D537,0)*$B$9-$B$4*$B$8</x:f>
        <x:v>200</x:v>
      </x:c>
      <x:c r="F537" t="n">
        <x:f>MIN($B$5,D537)*$B$7+MAX($B$5-D537,0)*$B$9-$B$5*$B$8</x:f>
        <x:v>240</x:v>
      </x:c>
      <x:c r="G537" t="n">
        <x:f>MIN($B$6,D537)*$B$7+MAX($B$6-D537,0)*$B$9-$B$6*$B$8</x:f>
        <x:v>320</x:v>
      </x:c>
      <x:c r="H537" t="n">
        <x:f>MAX(D537-$B$5,0)</x:f>
        <x:v>217</x:v>
      </x:c>
      <x:c r="I537" t="n">
        <x:f>MAX($B$5-D537,0)</x:f>
        <x:v>0</x:v>
      </x:c>
    </x:row>
    <x:row r="538">
      <x:c r="A538" t="n">
        <x:f>526</x:f>
        <x:v>526</x:v>
      </x:c>
      <x:c r="B538" t="n">
        <x:f>RAND()</x:f>
        <x:v>0.7734757861842045</x:v>
      </x:c>
      <x:c r="C538" t="n">
        <x:f>MIN(47,INT(B538*47)+1)</x:f>
        <x:v>37</x:v>
      </x:c>
      <x:c r="D538" t="n">
        <x:f>INDEX(Datos_47_semanas!$B$4:$B$50,C538)</x:f>
        <x:v>299</x:v>
      </x:c>
      <x:c r="E538" t="n">
        <x:f>MIN($B$4,D538)*$B$7+MAX($B$4-D538,0)*$B$9-$B$4*$B$8</x:f>
        <x:v>200</x:v>
      </x:c>
      <x:c r="F538" t="n">
        <x:f>MIN($B$5,D538)*$B$7+MAX($B$5-D538,0)*$B$9-$B$5*$B$8</x:f>
        <x:v>238.64999999999998</x:v>
      </x:c>
      <x:c r="G538" t="n">
        <x:f>MIN($B$6,D538)*$B$7+MAX($B$6-D538,0)*$B$9-$B$6*$B$8</x:f>
        <x:v>183.64999999999998</x:v>
      </x:c>
      <x:c r="H538" t="n">
        <x:f>MAX(D538-$B$5,0)</x:f>
        <x:v>0</x:v>
      </x:c>
      <x:c r="I538" t="n">
        <x:f>MAX($B$5-D538,0)</x:f>
        <x:v>1</x:v>
      </x:c>
    </x:row>
    <x:row r="539">
      <x:c r="A539" t="n">
        <x:f>527</x:f>
        <x:v>527</x:v>
      </x:c>
      <x:c r="B539" t="n">
        <x:f>RAND()</x:f>
        <x:v>0.7188414444566545</x:v>
      </x:c>
      <x:c r="C539" t="n">
        <x:f>MIN(47,INT(B539*47)+1)</x:f>
        <x:v>34</x:v>
      </x:c>
      <x:c r="D539" t="n">
        <x:f>INDEX(Datos_47_semanas!$B$4:$B$50,C539)</x:f>
        <x:v>281</x:v>
      </x:c>
      <x:c r="E539" t="n">
        <x:f>MIN($B$4,D539)*$B$7+MAX($B$4-D539,0)*$B$9-$B$4*$B$8</x:f>
        <x:v>200</x:v>
      </x:c>
      <x:c r="F539" t="n">
        <x:f>MIN($B$5,D539)*$B$7+MAX($B$5-D539,0)*$B$9-$B$5*$B$8</x:f>
        <x:v>214.34999999999997</x:v>
      </x:c>
      <x:c r="G539" t="n">
        <x:f>MIN($B$6,D539)*$B$7+MAX($B$6-D539,0)*$B$9-$B$6*$B$8</x:f>
        <x:v>159.34999999999997</x:v>
      </x:c>
      <x:c r="H539" t="n">
        <x:f>MAX(D539-$B$5,0)</x:f>
        <x:v>0</x:v>
      </x:c>
      <x:c r="I539" t="n">
        <x:f>MAX($B$5-D539,0)</x:f>
        <x:v>19</x:v>
      </x:c>
    </x:row>
    <x:row r="540">
      <x:c r="A540" t="n">
        <x:f>528</x:f>
        <x:v>528</x:v>
      </x:c>
      <x:c r="B540" t="n">
        <x:f>RAND()</x:f>
        <x:v>0.550005122051647</x:v>
      </x:c>
      <x:c r="C540" t="n">
        <x:f>MIN(47,INT(B540*47)+1)</x:f>
        <x:v>26</x:v>
      </x:c>
      <x:c r="D540" t="n">
        <x:f>INDEX(Datos_47_semanas!$B$4:$B$50,C540)</x:f>
        <x:v>183</x:v>
      </x:c>
      <x:c r="E540" t="n">
        <x:f>MIN($B$4,D540)*$B$7+MAX($B$4-D540,0)*$B$9-$B$4*$B$8</x:f>
        <x:v>109.55000000000001</x:v>
      </x:c>
      <x:c r="F540" t="n">
        <x:f>MIN($B$5,D540)*$B$7+MAX($B$5-D540,0)*$B$9-$B$5*$B$8</x:f>
        <x:v>82.05000000000001</x:v>
      </x:c>
      <x:c r="G540" t="n">
        <x:f>MIN($B$6,D540)*$B$7+MAX($B$6-D540,0)*$B$9-$B$6*$B$8</x:f>
        <x:v>27.049999999999955</x:v>
      </x:c>
      <x:c r="H540" t="n">
        <x:f>MAX(D540-$B$5,0)</x:f>
        <x:v>0</x:v>
      </x:c>
      <x:c r="I540" t="n">
        <x:f>MAX($B$5-D540,0)</x:f>
        <x:v>117</x:v>
      </x:c>
    </x:row>
    <x:row r="541">
      <x:c r="A541" t="n">
        <x:f>529</x:f>
        <x:v>529</x:v>
      </x:c>
      <x:c r="B541" t="n">
        <x:f>RAND()</x:f>
        <x:v>0.734851993630792</x:v>
      </x:c>
      <x:c r="C541" t="n">
        <x:f>MIN(47,INT(B541*47)+1)</x:f>
        <x:v>35</x:v>
      </x:c>
      <x:c r="D541" t="n">
        <x:f>INDEX(Datos_47_semanas!$B$4:$B$50,C541)</x:f>
        <x:v>192</x:v>
      </x:c>
      <x:c r="E541" t="n">
        <x:f>MIN($B$4,D541)*$B$7+MAX($B$4-D541,0)*$B$9-$B$4*$B$8</x:f>
        <x:v>121.69999999999993</x:v>
      </x:c>
      <x:c r="F541" t="n">
        <x:f>MIN($B$5,D541)*$B$7+MAX($B$5-D541,0)*$B$9-$B$5*$B$8</x:f>
        <x:v>94.19999999999993</x:v>
      </x:c>
      <x:c r="G541" t="n">
        <x:f>MIN($B$6,D541)*$B$7+MAX($B$6-D541,0)*$B$9-$B$6*$B$8</x:f>
        <x:v>39.19999999999993</x:v>
      </x:c>
      <x:c r="H541" t="n">
        <x:f>MAX(D541-$B$5,0)</x:f>
        <x:v>0</x:v>
      </x:c>
      <x:c r="I541" t="n">
        <x:f>MAX($B$5-D541,0)</x:f>
        <x:v>108</x:v>
      </x:c>
    </x:row>
    <x:row r="542">
      <x:c r="A542" t="n">
        <x:f>530</x:f>
        <x:v>530</x:v>
      </x:c>
      <x:c r="B542" t="n">
        <x:f>RAND()</x:f>
        <x:v>0.34023407863027555</x:v>
      </x:c>
      <x:c r="C542" t="n">
        <x:f>MIN(47,INT(B542*47)+1)</x:f>
        <x:v>16</x:v>
      </x:c>
      <x:c r="D542" t="n">
        <x:f>INDEX(Datos_47_semanas!$B$4:$B$50,C542)</x:f>
        <x:v>318</x:v>
      </x:c>
      <x:c r="E542" t="n">
        <x:f>MIN($B$4,D542)*$B$7+MAX($B$4-D542,0)*$B$9-$B$4*$B$8</x:f>
        <x:v>200</x:v>
      </x:c>
      <x:c r="F542" t="n">
        <x:f>MIN($B$5,D542)*$B$7+MAX($B$5-D542,0)*$B$9-$B$5*$B$8</x:f>
        <x:v>240</x:v>
      </x:c>
      <x:c r="G542" t="n">
        <x:f>MIN($B$6,D542)*$B$7+MAX($B$6-D542,0)*$B$9-$B$6*$B$8</x:f>
        <x:v>209.29999999999995</x:v>
      </x:c>
      <x:c r="H542" t="n">
        <x:f>MAX(D542-$B$5,0)</x:f>
        <x:v>18</x:v>
      </x:c>
      <x:c r="I542" t="n">
        <x:f>MAX($B$5-D542,0)</x:f>
        <x:v>0</x:v>
      </x:c>
    </x:row>
    <x:row r="543">
      <x:c r="A543" t="n">
        <x:f>531</x:f>
        <x:v>531</x:v>
      </x:c>
      <x:c r="B543" t="n">
        <x:f>RAND()</x:f>
        <x:v>0.961000220075424</x:v>
      </x:c>
      <x:c r="C543" t="n">
        <x:f>MIN(47,INT(B543*47)+1)</x:f>
        <x:v>46</x:v>
      </x:c>
      <x:c r="D543" t="n">
        <x:f>INDEX(Datos_47_semanas!$B$4:$B$50,C543)</x:f>
        <x:v>449</x:v>
      </x:c>
      <x:c r="E543" t="n">
        <x:f>MIN($B$4,D543)*$B$7+MAX($B$4-D543,0)*$B$9-$B$4*$B$8</x:f>
        <x:v>200</x:v>
      </x:c>
      <x:c r="F543" t="n">
        <x:f>MIN($B$5,D543)*$B$7+MAX($B$5-D543,0)*$B$9-$B$5*$B$8</x:f>
        <x:v>240</x:v>
      </x:c>
      <x:c r="G543" t="n">
        <x:f>MIN($B$6,D543)*$B$7+MAX($B$6-D543,0)*$B$9-$B$6*$B$8</x:f>
        <x:v>320</x:v>
      </x:c>
      <x:c r="H543" t="n">
        <x:f>MAX(D543-$B$5,0)</x:f>
        <x:v>149</x:v>
      </x:c>
      <x:c r="I543" t="n">
        <x:f>MAX($B$5-D543,0)</x:f>
        <x:v>0</x:v>
      </x:c>
    </x:row>
    <x:row r="544">
      <x:c r="A544" t="n">
        <x:f>532</x:f>
        <x:v>532</x:v>
      </x:c>
      <x:c r="B544" t="n">
        <x:f>RAND()</x:f>
        <x:v>0.9273036292401945</x:v>
      </x:c>
      <x:c r="C544" t="n">
        <x:f>MIN(47,INT(B544*47)+1)</x:f>
        <x:v>44</x:v>
      </x:c>
      <x:c r="D544" t="n">
        <x:f>INDEX(Datos_47_semanas!$B$4:$B$50,C544)</x:f>
        <x:v>223</x:v>
      </x:c>
      <x:c r="E544" t="n">
        <x:f>MIN($B$4,D544)*$B$7+MAX($B$4-D544,0)*$B$9-$B$4*$B$8</x:f>
        <x:v>163.55</x:v>
      </x:c>
      <x:c r="F544" t="n">
        <x:f>MIN($B$5,D544)*$B$7+MAX($B$5-D544,0)*$B$9-$B$5*$B$8</x:f>
        <x:v>136.05</x:v>
      </x:c>
      <x:c r="G544" t="n">
        <x:f>MIN($B$6,D544)*$B$7+MAX($B$6-D544,0)*$B$9-$B$6*$B$8</x:f>
        <x:v>81.05000000000001</x:v>
      </x:c>
      <x:c r="H544" t="n">
        <x:f>MAX(D544-$B$5,0)</x:f>
        <x:v>0</x:v>
      </x:c>
      <x:c r="I544" t="n">
        <x:f>MAX($B$5-D544,0)</x:f>
        <x:v>77</x:v>
      </x:c>
    </x:row>
    <x:row r="545">
      <x:c r="A545" t="n">
        <x:f>533</x:f>
        <x:v>533</x:v>
      </x:c>
      <x:c r="B545" t="n">
        <x:f>RAND()</x:f>
        <x:v>0.3362107495291834</x:v>
      </x:c>
      <x:c r="C545" t="n">
        <x:f>MIN(47,INT(B545*47)+1)</x:f>
        <x:v>16</x:v>
      </x:c>
      <x:c r="D545" t="n">
        <x:f>INDEX(Datos_47_semanas!$B$4:$B$50,C545)</x:f>
        <x:v>318</x:v>
      </x:c>
      <x:c r="E545" t="n">
        <x:f>MIN($B$4,D545)*$B$7+MAX($B$4-D545,0)*$B$9-$B$4*$B$8</x:f>
        <x:v>200</x:v>
      </x:c>
      <x:c r="F545" t="n">
        <x:f>MIN($B$5,D545)*$B$7+MAX($B$5-D545,0)*$B$9-$B$5*$B$8</x:f>
        <x:v>240</x:v>
      </x:c>
      <x:c r="G545" t="n">
        <x:f>MIN($B$6,D545)*$B$7+MAX($B$6-D545,0)*$B$9-$B$6*$B$8</x:f>
        <x:v>209.29999999999995</x:v>
      </x:c>
      <x:c r="H545" t="n">
        <x:f>MAX(D545-$B$5,0)</x:f>
        <x:v>18</x:v>
      </x:c>
      <x:c r="I545" t="n">
        <x:f>MAX($B$5-D545,0)</x:f>
        <x:v>0</x:v>
      </x:c>
    </x:row>
    <x:row r="546">
      <x:c r="A546" t="n">
        <x:f>534</x:f>
        <x:v>534</x:v>
      </x:c>
      <x:c r="B546" t="n">
        <x:f>RAND()</x:f>
        <x:v>0.5392194253710028</x:v>
      </x:c>
      <x:c r="C546" t="n">
        <x:f>MIN(47,INT(B546*47)+1)</x:f>
        <x:v>26</x:v>
      </x:c>
      <x:c r="D546" t="n">
        <x:f>INDEX(Datos_47_semanas!$B$4:$B$50,C546)</x:f>
        <x:v>183</x:v>
      </x:c>
      <x:c r="E546" t="n">
        <x:f>MIN($B$4,D546)*$B$7+MAX($B$4-D546,0)*$B$9-$B$4*$B$8</x:f>
        <x:v>109.55000000000001</x:v>
      </x:c>
      <x:c r="F546" t="n">
        <x:f>MIN($B$5,D546)*$B$7+MAX($B$5-D546,0)*$B$9-$B$5*$B$8</x:f>
        <x:v>82.05000000000001</x:v>
      </x:c>
      <x:c r="G546" t="n">
        <x:f>MIN($B$6,D546)*$B$7+MAX($B$6-D546,0)*$B$9-$B$6*$B$8</x:f>
        <x:v>27.049999999999955</x:v>
      </x:c>
      <x:c r="H546" t="n">
        <x:f>MAX(D546-$B$5,0)</x:f>
        <x:v>0</x:v>
      </x:c>
      <x:c r="I546" t="n">
        <x:f>MAX($B$5-D546,0)</x:f>
        <x:v>117</x:v>
      </x:c>
    </x:row>
    <x:row r="547">
      <x:c r="A547" t="n">
        <x:f>535</x:f>
        <x:v>535</x:v>
      </x:c>
      <x:c r="B547" t="n">
        <x:f>RAND()</x:f>
        <x:v>0.7077817925826035</x:v>
      </x:c>
      <x:c r="C547" t="n">
        <x:f>MIN(47,INT(B547*47)+1)</x:f>
        <x:v>34</x:v>
      </x:c>
      <x:c r="D547" t="n">
        <x:f>INDEX(Datos_47_semanas!$B$4:$B$50,C547)</x:f>
        <x:v>281</x:v>
      </x:c>
      <x:c r="E547" t="n">
        <x:f>MIN($B$4,D547)*$B$7+MAX($B$4-D547,0)*$B$9-$B$4*$B$8</x:f>
        <x:v>200</x:v>
      </x:c>
      <x:c r="F547" t="n">
        <x:f>MIN($B$5,D547)*$B$7+MAX($B$5-D547,0)*$B$9-$B$5*$B$8</x:f>
        <x:v>214.34999999999997</x:v>
      </x:c>
      <x:c r="G547" t="n">
        <x:f>MIN($B$6,D547)*$B$7+MAX($B$6-D547,0)*$B$9-$B$6*$B$8</x:f>
        <x:v>159.34999999999997</x:v>
      </x:c>
      <x:c r="H547" t="n">
        <x:f>MAX(D547-$B$5,0)</x:f>
        <x:v>0</x:v>
      </x:c>
      <x:c r="I547" t="n">
        <x:f>MAX($B$5-D547,0)</x:f>
        <x:v>19</x:v>
      </x:c>
    </x:row>
    <x:row r="548">
      <x:c r="A548" t="n">
        <x:f>536</x:f>
        <x:v>536</x:v>
      </x:c>
      <x:c r="B548" t="n">
        <x:f>RAND()</x:f>
        <x:v>0.8393836475529116</x:v>
      </x:c>
      <x:c r="C548" t="n">
        <x:f>MIN(47,INT(B548*47)+1)</x:f>
        <x:v>40</x:v>
      </x:c>
      <x:c r="D548" t="n">
        <x:f>INDEX(Datos_47_semanas!$B$4:$B$50,C548)</x:f>
        <x:v>278</x:v>
      </x:c>
      <x:c r="E548" t="n">
        <x:f>MIN($B$4,D548)*$B$7+MAX($B$4-D548,0)*$B$9-$B$4*$B$8</x:f>
        <x:v>200</x:v>
      </x:c>
      <x:c r="F548" t="n">
        <x:f>MIN($B$5,D548)*$B$7+MAX($B$5-D548,0)*$B$9-$B$5*$B$8</x:f>
        <x:v>210.3</x:v>
      </x:c>
      <x:c r="G548" t="n">
        <x:f>MIN($B$6,D548)*$B$7+MAX($B$6-D548,0)*$B$9-$B$6*$B$8</x:f>
        <x:v>155.3</x:v>
      </x:c>
      <x:c r="H548" t="n">
        <x:f>MAX(D548-$B$5,0)</x:f>
        <x:v>0</x:v>
      </x:c>
      <x:c r="I548" t="n">
        <x:f>MAX($B$5-D548,0)</x:f>
        <x:v>22</x:v>
      </x:c>
    </x:row>
    <x:row r="549">
      <x:c r="A549" t="n">
        <x:f>537</x:f>
        <x:v>537</x:v>
      </x:c>
      <x:c r="B549" t="n">
        <x:f>RAND()</x:f>
        <x:v>0.19312166811466347</x:v>
      </x:c>
      <x:c r="C549" t="n">
        <x:f>MIN(47,INT(B549*47)+1)</x:f>
        <x:v>10</x:v>
      </x:c>
      <x:c r="D549" t="n">
        <x:f>INDEX(Datos_47_semanas!$B$4:$B$50,C549)</x:f>
        <x:v>98</x:v>
      </x:c>
      <x:c r="E549" t="n">
        <x:f>MIN($B$4,D549)*$B$7+MAX($B$4-D549,0)*$B$9-$B$4*$B$8</x:f>
        <x:v>-5.200000000000017</x:v>
      </x:c>
      <x:c r="F549" t="n">
        <x:f>MIN($B$5,D549)*$B$7+MAX($B$5-D549,0)*$B$9-$B$5*$B$8</x:f>
        <x:v>-32.70000000000002</x:v>
      </x:c>
      <x:c r="G549" t="n">
        <x:f>MIN($B$6,D549)*$B$7+MAX($B$6-D549,0)*$B$9-$B$6*$B$8</x:f>
        <x:v>-87.70000000000002</x:v>
      </x:c>
      <x:c r="H549" t="n">
        <x:f>MAX(D549-$B$5,0)</x:f>
        <x:v>0</x:v>
      </x:c>
      <x:c r="I549" t="n">
        <x:f>MAX($B$5-D549,0)</x:f>
        <x:v>202</x:v>
      </x:c>
    </x:row>
    <x:row r="550">
      <x:c r="A550" t="n">
        <x:f>538</x:f>
        <x:v>538</x:v>
      </x:c>
      <x:c r="B550" t="n">
        <x:f>RAND()</x:f>
        <x:v>0.7885297711040458</x:v>
      </x:c>
      <x:c r="C550" t="n">
        <x:f>MIN(47,INT(B550*47)+1)</x:f>
        <x:v>38</x:v>
      </x:c>
      <x:c r="D550" t="n">
        <x:f>INDEX(Datos_47_semanas!$B$4:$B$50,C550)</x:f>
        <x:v>212</x:v>
      </x:c>
      <x:c r="E550" t="n">
        <x:f>MIN($B$4,D550)*$B$7+MAX($B$4-D550,0)*$B$9-$B$4*$B$8</x:f>
        <x:v>148.69999999999993</x:v>
      </x:c>
      <x:c r="F550" t="n">
        <x:f>MIN($B$5,D550)*$B$7+MAX($B$5-D550,0)*$B$9-$B$5*$B$8</x:f>
        <x:v>121.19999999999993</x:v>
      </x:c>
      <x:c r="G550" t="n">
        <x:f>MIN($B$6,D550)*$B$7+MAX($B$6-D550,0)*$B$9-$B$6*$B$8</x:f>
        <x:v>66.19999999999993</x:v>
      </x:c>
      <x:c r="H550" t="n">
        <x:f>MAX(D550-$B$5,0)</x:f>
        <x:v>0</x:v>
      </x:c>
      <x:c r="I550" t="n">
        <x:f>MAX($B$5-D550,0)</x:f>
        <x:v>88</x:v>
      </x:c>
    </x:row>
    <x:row r="551">
      <x:c r="A551" t="n">
        <x:f>539</x:f>
        <x:v>539</x:v>
      </x:c>
      <x:c r="B551" t="n">
        <x:f>RAND()</x:f>
        <x:v>0.9785964050962649</x:v>
      </x:c>
      <x:c r="C551" t="n">
        <x:f>MIN(47,INT(B551*47)+1)</x:f>
        <x:v>46</x:v>
      </x:c>
      <x:c r="D551" t="n">
        <x:f>INDEX(Datos_47_semanas!$B$4:$B$50,C551)</x:f>
        <x:v>449</x:v>
      </x:c>
      <x:c r="E551" t="n">
        <x:f>MIN($B$4,D551)*$B$7+MAX($B$4-D551,0)*$B$9-$B$4*$B$8</x:f>
        <x:v>200</x:v>
      </x:c>
      <x:c r="F551" t="n">
        <x:f>MIN($B$5,D551)*$B$7+MAX($B$5-D551,0)*$B$9-$B$5*$B$8</x:f>
        <x:v>240</x:v>
      </x:c>
      <x:c r="G551" t="n">
        <x:f>MIN($B$6,D551)*$B$7+MAX($B$6-D551,0)*$B$9-$B$6*$B$8</x:f>
        <x:v>320</x:v>
      </x:c>
      <x:c r="H551" t="n">
        <x:f>MAX(D551-$B$5,0)</x:f>
        <x:v>149</x:v>
      </x:c>
      <x:c r="I551" t="n">
        <x:f>MAX($B$5-D551,0)</x:f>
        <x:v>0</x:v>
      </x:c>
    </x:row>
    <x:row r="552">
      <x:c r="A552" t="n">
        <x:f>540</x:f>
        <x:v>540</x:v>
      </x:c>
      <x:c r="B552" t="n">
        <x:f>RAND()</x:f>
        <x:v>0.10107704146886731</x:v>
      </x:c>
      <x:c r="C552" t="n">
        <x:f>MIN(47,INT(B552*47)+1)</x:f>
        <x:v>5</x:v>
      </x:c>
      <x:c r="D552" t="n">
        <x:f>INDEX(Datos_47_semanas!$B$4:$B$50,C552)</x:f>
        <x:v>347</x:v>
      </x:c>
      <x:c r="E552" t="n">
        <x:f>MIN($B$4,D552)*$B$7+MAX($B$4-D552,0)*$B$9-$B$4*$B$8</x:f>
        <x:v>200</x:v>
      </x:c>
      <x:c r="F552" t="n">
        <x:f>MIN($B$5,D552)*$B$7+MAX($B$5-D552,0)*$B$9-$B$5*$B$8</x:f>
        <x:v>240</x:v>
      </x:c>
      <x:c r="G552" t="n">
        <x:f>MIN($B$6,D552)*$B$7+MAX($B$6-D552,0)*$B$9-$B$6*$B$8</x:f>
        <x:v>248.44999999999993</x:v>
      </x:c>
      <x:c r="H552" t="n">
        <x:f>MAX(D552-$B$5,0)</x:f>
        <x:v>47</x:v>
      </x:c>
      <x:c r="I552" t="n">
        <x:f>MAX($B$5-D552,0)</x:f>
        <x:v>0</x:v>
      </x:c>
    </x:row>
    <x:row r="553">
      <x:c r="A553" t="n">
        <x:f>541</x:f>
        <x:v>541</x:v>
      </x:c>
      <x:c r="B553" t="n">
        <x:f>RAND()</x:f>
        <x:v>0.25100658197900505</x:v>
      </x:c>
      <x:c r="C553" t="n">
        <x:f>MIN(47,INT(B553*47)+1)</x:f>
        <x:v>12</x:v>
      </x:c>
      <x:c r="D553" t="n">
        <x:f>INDEX(Datos_47_semanas!$B$4:$B$50,C553)</x:f>
        <x:v>336</x:v>
      </x:c>
      <x:c r="E553" t="n">
        <x:f>MIN($B$4,D553)*$B$7+MAX($B$4-D553,0)*$B$9-$B$4*$B$8</x:f>
        <x:v>200</x:v>
      </x:c>
      <x:c r="F553" t="n">
        <x:f>MIN($B$5,D553)*$B$7+MAX($B$5-D553,0)*$B$9-$B$5*$B$8</x:f>
        <x:v>240</x:v>
      </x:c>
      <x:c r="G553" t="n">
        <x:f>MIN($B$6,D553)*$B$7+MAX($B$6-D553,0)*$B$9-$B$6*$B$8</x:f>
        <x:v>233.60000000000002</x:v>
      </x:c>
      <x:c r="H553" t="n">
        <x:f>MAX(D553-$B$5,0)</x:f>
        <x:v>36</x:v>
      </x:c>
      <x:c r="I553" t="n">
        <x:f>MAX($B$5-D553,0)</x:f>
        <x:v>0</x:v>
      </x:c>
    </x:row>
    <x:row r="554">
      <x:c r="A554" t="n">
        <x:f>542</x:f>
        <x:v>542</x:v>
      </x:c>
      <x:c r="B554" t="n">
        <x:f>RAND()</x:f>
        <x:v>0.7424874552897598</x:v>
      </x:c>
      <x:c r="C554" t="n">
        <x:f>MIN(47,INT(B554*47)+1)</x:f>
        <x:v>35</x:v>
      </x:c>
      <x:c r="D554" t="n">
        <x:f>INDEX(Datos_47_semanas!$B$4:$B$50,C554)</x:f>
        <x:v>192</x:v>
      </x:c>
      <x:c r="E554" t="n">
        <x:f>MIN($B$4,D554)*$B$7+MAX($B$4-D554,0)*$B$9-$B$4*$B$8</x:f>
        <x:v>121.69999999999993</x:v>
      </x:c>
      <x:c r="F554" t="n">
        <x:f>MIN($B$5,D554)*$B$7+MAX($B$5-D554,0)*$B$9-$B$5*$B$8</x:f>
        <x:v>94.19999999999993</x:v>
      </x:c>
      <x:c r="G554" t="n">
        <x:f>MIN($B$6,D554)*$B$7+MAX($B$6-D554,0)*$B$9-$B$6*$B$8</x:f>
        <x:v>39.19999999999993</x:v>
      </x:c>
      <x:c r="H554" t="n">
        <x:f>MAX(D554-$B$5,0)</x:f>
        <x:v>0</x:v>
      </x:c>
      <x:c r="I554" t="n">
        <x:f>MAX($B$5-D554,0)</x:f>
        <x:v>108</x:v>
      </x:c>
    </x:row>
    <x:row r="555">
      <x:c r="A555" t="n">
        <x:f>543</x:f>
        <x:v>543</x:v>
      </x:c>
      <x:c r="B555" t="n">
        <x:f>RAND()</x:f>
        <x:v>0.9236175544968485</x:v>
      </x:c>
      <x:c r="C555" t="n">
        <x:f>MIN(47,INT(B555*47)+1)</x:f>
        <x:v>44</x:v>
      </x:c>
      <x:c r="D555" t="n">
        <x:f>INDEX(Datos_47_semanas!$B$4:$B$50,C555)</x:f>
        <x:v>223</x:v>
      </x:c>
      <x:c r="E555" t="n">
        <x:f>MIN($B$4,D555)*$B$7+MAX($B$4-D555,0)*$B$9-$B$4*$B$8</x:f>
        <x:v>163.55</x:v>
      </x:c>
      <x:c r="F555" t="n">
        <x:f>MIN($B$5,D555)*$B$7+MAX($B$5-D555,0)*$B$9-$B$5*$B$8</x:f>
        <x:v>136.05</x:v>
      </x:c>
      <x:c r="G555" t="n">
        <x:f>MIN($B$6,D555)*$B$7+MAX($B$6-D555,0)*$B$9-$B$6*$B$8</x:f>
        <x:v>81.05000000000001</x:v>
      </x:c>
      <x:c r="H555" t="n">
        <x:f>MAX(D555-$B$5,0)</x:f>
        <x:v>0</x:v>
      </x:c>
      <x:c r="I555" t="n">
        <x:f>MAX($B$5-D555,0)</x:f>
        <x:v>77</x:v>
      </x:c>
    </x:row>
    <x:row r="556">
      <x:c r="A556" t="n">
        <x:f>544</x:f>
        <x:v>544</x:v>
      </x:c>
      <x:c r="B556" t="n">
        <x:f>RAND()</x:f>
        <x:v>0.09883921111911387</x:v>
      </x:c>
      <x:c r="C556" t="n">
        <x:f>MIN(47,INT(B556*47)+1)</x:f>
        <x:v>5</x:v>
      </x:c>
      <x:c r="D556" t="n">
        <x:f>INDEX(Datos_47_semanas!$B$4:$B$50,C556)</x:f>
        <x:v>347</x:v>
      </x:c>
      <x:c r="E556" t="n">
        <x:f>MIN($B$4,D556)*$B$7+MAX($B$4-D556,0)*$B$9-$B$4*$B$8</x:f>
        <x:v>200</x:v>
      </x:c>
      <x:c r="F556" t="n">
        <x:f>MIN($B$5,D556)*$B$7+MAX($B$5-D556,0)*$B$9-$B$5*$B$8</x:f>
        <x:v>240</x:v>
      </x:c>
      <x:c r="G556" t="n">
        <x:f>MIN($B$6,D556)*$B$7+MAX($B$6-D556,0)*$B$9-$B$6*$B$8</x:f>
        <x:v>248.44999999999993</x:v>
      </x:c>
      <x:c r="H556" t="n">
        <x:f>MAX(D556-$B$5,0)</x:f>
        <x:v>47</x:v>
      </x:c>
      <x:c r="I556" t="n">
        <x:f>MAX($B$5-D556,0)</x:f>
        <x:v>0</x:v>
      </x:c>
    </x:row>
    <x:row r="557">
      <x:c r="A557" t="n">
        <x:f>545</x:f>
        <x:v>545</x:v>
      </x:c>
      <x:c r="B557" t="n">
        <x:f>RAND()</x:f>
        <x:v>0.6237480304111768</x:v>
      </x:c>
      <x:c r="C557" t="n">
        <x:f>MIN(47,INT(B557*47)+1)</x:f>
        <x:v>30</x:v>
      </x:c>
      <x:c r="D557" t="n">
        <x:f>INDEX(Datos_47_semanas!$B$4:$B$50,C557)</x:f>
        <x:v>345</x:v>
      </x:c>
      <x:c r="E557" t="n">
        <x:f>MIN($B$4,D557)*$B$7+MAX($B$4-D557,0)*$B$9-$B$4*$B$8</x:f>
        <x:v>200</x:v>
      </x:c>
      <x:c r="F557" t="n">
        <x:f>MIN($B$5,D557)*$B$7+MAX($B$5-D557,0)*$B$9-$B$5*$B$8</x:f>
        <x:v>240</x:v>
      </x:c>
      <x:c r="G557" t="n">
        <x:f>MIN($B$6,D557)*$B$7+MAX($B$6-D557,0)*$B$9-$B$6*$B$8</x:f>
        <x:v>245.75</x:v>
      </x:c>
      <x:c r="H557" t="n">
        <x:f>MAX(D557-$B$5,0)</x:f>
        <x:v>45</x:v>
      </x:c>
      <x:c r="I557" t="n">
        <x:f>MAX($B$5-D557,0)</x:f>
        <x:v>0</x:v>
      </x:c>
    </x:row>
    <x:row r="558">
      <x:c r="A558" t="n">
        <x:f>546</x:f>
        <x:v>546</x:v>
      </x:c>
      <x:c r="B558" t="n">
        <x:f>RAND()</x:f>
        <x:v>0.24345389359107805</x:v>
      </x:c>
      <x:c r="C558" t="n">
        <x:f>MIN(47,INT(B558*47)+1)</x:f>
        <x:v>12</x:v>
      </x:c>
      <x:c r="D558" t="n">
        <x:f>INDEX(Datos_47_semanas!$B$4:$B$50,C558)</x:f>
        <x:v>336</x:v>
      </x:c>
      <x:c r="E558" t="n">
        <x:f>MIN($B$4,D558)*$B$7+MAX($B$4-D558,0)*$B$9-$B$4*$B$8</x:f>
        <x:v>200</x:v>
      </x:c>
      <x:c r="F558" t="n">
        <x:f>MIN($B$5,D558)*$B$7+MAX($B$5-D558,0)*$B$9-$B$5*$B$8</x:f>
        <x:v>240</x:v>
      </x:c>
      <x:c r="G558" t="n">
        <x:f>MIN($B$6,D558)*$B$7+MAX($B$6-D558,0)*$B$9-$B$6*$B$8</x:f>
        <x:v>233.60000000000002</x:v>
      </x:c>
      <x:c r="H558" t="n">
        <x:f>MAX(D558-$B$5,0)</x:f>
        <x:v>36</x:v>
      </x:c>
      <x:c r="I558" t="n">
        <x:f>MAX($B$5-D558,0)</x:f>
        <x:v>0</x:v>
      </x:c>
    </x:row>
    <x:row r="559">
      <x:c r="A559" t="n">
        <x:f>547</x:f>
        <x:v>547</x:v>
      </x:c>
      <x:c r="B559" t="n">
        <x:f>RAND()</x:f>
        <x:v>0.47219486493858687</x:v>
      </x:c>
      <x:c r="C559" t="n">
        <x:f>MIN(47,INT(B559*47)+1)</x:f>
        <x:v>23</x:v>
      </x:c>
      <x:c r="D559" t="n">
        <x:f>INDEX(Datos_47_semanas!$B$4:$B$50,C559)</x:f>
        <x:v>565</x:v>
      </x:c>
      <x:c r="E559" t="n">
        <x:f>MIN($B$4,D559)*$B$7+MAX($B$4-D559,0)*$B$9-$B$4*$B$8</x:f>
        <x:v>200</x:v>
      </x:c>
      <x:c r="F559" t="n">
        <x:f>MIN($B$5,D559)*$B$7+MAX($B$5-D559,0)*$B$9-$B$5*$B$8</x:f>
        <x:v>240</x:v>
      </x:c>
      <x:c r="G559" t="n">
        <x:f>MIN($B$6,D559)*$B$7+MAX($B$6-D559,0)*$B$9-$B$6*$B$8</x:f>
        <x:v>320</x:v>
      </x:c>
      <x:c r="H559" t="n">
        <x:f>MAX(D559-$B$5,0)</x:f>
        <x:v>265</x:v>
      </x:c>
      <x:c r="I559" t="n">
        <x:f>MAX($B$5-D559,0)</x:f>
        <x:v>0</x:v>
      </x:c>
    </x:row>
    <x:row r="560">
      <x:c r="A560" t="n">
        <x:f>548</x:f>
        <x:v>548</x:v>
      </x:c>
      <x:c r="B560" t="n">
        <x:f>RAND()</x:f>
        <x:v>0.5647321964421452</x:v>
      </x:c>
      <x:c r="C560" t="n">
        <x:f>MIN(47,INT(B560*47)+1)</x:f>
        <x:v>27</x:v>
      </x:c>
      <x:c r="D560" t="n">
        <x:f>INDEX(Datos_47_semanas!$B$4:$B$50,C560)</x:f>
        <x:v>293</x:v>
      </x:c>
      <x:c r="E560" t="n">
        <x:f>MIN($B$4,D560)*$B$7+MAX($B$4-D560,0)*$B$9-$B$4*$B$8</x:f>
        <x:v>200</x:v>
      </x:c>
      <x:c r="F560" t="n">
        <x:f>MIN($B$5,D560)*$B$7+MAX($B$5-D560,0)*$B$9-$B$5*$B$8</x:f>
        <x:v>230.55</x:v>
      </x:c>
      <x:c r="G560" t="n">
        <x:f>MIN($B$6,D560)*$B$7+MAX($B$6-D560,0)*$B$9-$B$6*$B$8</x:f>
        <x:v>175.54999999999995</x:v>
      </x:c>
      <x:c r="H560" t="n">
        <x:f>MAX(D560-$B$5,0)</x:f>
        <x:v>0</x:v>
      </x:c>
      <x:c r="I560" t="n">
        <x:f>MAX($B$5-D560,0)</x:f>
        <x:v>7</x:v>
      </x:c>
    </x:row>
    <x:row r="561">
      <x:c r="A561" t="n">
        <x:f>549</x:f>
        <x:v>549</x:v>
      </x:c>
      <x:c r="B561" t="n">
        <x:f>RAND()</x:f>
        <x:v>0.9652726942797226</x:v>
      </x:c>
      <x:c r="C561" t="n">
        <x:f>MIN(47,INT(B561*47)+1)</x:f>
        <x:v>46</x:v>
      </x:c>
      <x:c r="D561" t="n">
        <x:f>INDEX(Datos_47_semanas!$B$4:$B$50,C561)</x:f>
        <x:v>449</x:v>
      </x:c>
      <x:c r="E561" t="n">
        <x:f>MIN($B$4,D561)*$B$7+MAX($B$4-D561,0)*$B$9-$B$4*$B$8</x:f>
        <x:v>200</x:v>
      </x:c>
      <x:c r="F561" t="n">
        <x:f>MIN($B$5,D561)*$B$7+MAX($B$5-D561,0)*$B$9-$B$5*$B$8</x:f>
        <x:v>240</x:v>
      </x:c>
      <x:c r="G561" t="n">
        <x:f>MIN($B$6,D561)*$B$7+MAX($B$6-D561,0)*$B$9-$B$6*$B$8</x:f>
        <x:v>320</x:v>
      </x:c>
      <x:c r="H561" t="n">
        <x:f>MAX(D561-$B$5,0)</x:f>
        <x:v>149</x:v>
      </x:c>
      <x:c r="I561" t="n">
        <x:f>MAX($B$5-D561,0)</x:f>
        <x:v>0</x:v>
      </x:c>
    </x:row>
    <x:row r="562">
      <x:c r="A562" t="n">
        <x:f>550</x:f>
        <x:v>550</x:v>
      </x:c>
      <x:c r="B562" t="n">
        <x:f>RAND()</x:f>
        <x:v>0.9919306184708069</x:v>
      </x:c>
      <x:c r="C562" t="n">
        <x:f>MIN(47,INT(B562*47)+1)</x:f>
        <x:v>47</x:v>
      </x:c>
      <x:c r="D562" t="n">
        <x:f>INDEX(Datos_47_semanas!$B$4:$B$50,C562)</x:f>
        <x:v>256</x:v>
      </x:c>
      <x:c r="E562" t="n">
        <x:f>MIN($B$4,D562)*$B$7+MAX($B$4-D562,0)*$B$9-$B$4*$B$8</x:f>
        <x:v>200</x:v>
      </x:c>
      <x:c r="F562" t="n">
        <x:f>MIN($B$5,D562)*$B$7+MAX($B$5-D562,0)*$B$9-$B$5*$B$8</x:f>
        <x:v>180.59999999999997</x:v>
      </x:c>
      <x:c r="G562" t="n">
        <x:f>MIN($B$6,D562)*$B$7+MAX($B$6-D562,0)*$B$9-$B$6*$B$8</x:f>
        <x:v>125.59999999999997</x:v>
      </x:c>
      <x:c r="H562" t="n">
        <x:f>MAX(D562-$B$5,0)</x:f>
        <x:v>0</x:v>
      </x:c>
      <x:c r="I562" t="n">
        <x:f>MAX($B$5-D562,0)</x:f>
        <x:v>44</x:v>
      </x:c>
    </x:row>
    <x:row r="563">
      <x:c r="A563" t="n">
        <x:f>551</x:f>
        <x:v>551</x:v>
      </x:c>
      <x:c r="B563" t="n">
        <x:f>RAND()</x:f>
        <x:v>0.2817490224155509</x:v>
      </x:c>
      <x:c r="C563" t="n">
        <x:f>MIN(47,INT(B563*47)+1)</x:f>
        <x:v>14</x:v>
      </x:c>
      <x:c r="D563" t="n">
        <x:f>INDEX(Datos_47_semanas!$B$4:$B$50,C563)</x:f>
        <x:v>187</x:v>
      </x:c>
      <x:c r="E563" t="n">
        <x:f>MIN($B$4,D563)*$B$7+MAX($B$4-D563,0)*$B$9-$B$4*$B$8</x:f>
        <x:v>114.94999999999999</x:v>
      </x:c>
      <x:c r="F563" t="n">
        <x:f>MIN($B$5,D563)*$B$7+MAX($B$5-D563,0)*$B$9-$B$5*$B$8</x:f>
        <x:v>87.44999999999999</x:v>
      </x:c>
      <x:c r="G563" t="n">
        <x:f>MIN($B$6,D563)*$B$7+MAX($B$6-D563,0)*$B$9-$B$6*$B$8</x:f>
        <x:v>32.44999999999999</x:v>
      </x:c>
      <x:c r="H563" t="n">
        <x:f>MAX(D563-$B$5,0)</x:f>
        <x:v>0</x:v>
      </x:c>
      <x:c r="I563" t="n">
        <x:f>MAX($B$5-D563,0)</x:f>
        <x:v>113</x:v>
      </x:c>
    </x:row>
    <x:row r="564">
      <x:c r="A564" t="n">
        <x:f>552</x:f>
        <x:v>552</x:v>
      </x:c>
      <x:c r="B564" t="n">
        <x:f>RAND()</x:f>
        <x:v>0.5517014162484823</x:v>
      </x:c>
      <x:c r="C564" t="n">
        <x:f>MIN(47,INT(B564*47)+1)</x:f>
        <x:v>26</x:v>
      </x:c>
      <x:c r="D564" t="n">
        <x:f>INDEX(Datos_47_semanas!$B$4:$B$50,C564)</x:f>
        <x:v>183</x:v>
      </x:c>
      <x:c r="E564" t="n">
        <x:f>MIN($B$4,D564)*$B$7+MAX($B$4-D564,0)*$B$9-$B$4*$B$8</x:f>
        <x:v>109.55000000000001</x:v>
      </x:c>
      <x:c r="F564" t="n">
        <x:f>MIN($B$5,D564)*$B$7+MAX($B$5-D564,0)*$B$9-$B$5*$B$8</x:f>
        <x:v>82.05000000000001</x:v>
      </x:c>
      <x:c r="G564" t="n">
        <x:f>MIN($B$6,D564)*$B$7+MAX($B$6-D564,0)*$B$9-$B$6*$B$8</x:f>
        <x:v>27.049999999999955</x:v>
      </x:c>
      <x:c r="H564" t="n">
        <x:f>MAX(D564-$B$5,0)</x:f>
        <x:v>0</x:v>
      </x:c>
      <x:c r="I564" t="n">
        <x:f>MAX($B$5-D564,0)</x:f>
        <x:v>117</x:v>
      </x:c>
    </x:row>
    <x:row r="565">
      <x:c r="A565" t="n">
        <x:f>553</x:f>
        <x:v>553</x:v>
      </x:c>
      <x:c r="B565" t="n">
        <x:f>RAND()</x:f>
        <x:v>0.95816343587395</x:v>
      </x:c>
      <x:c r="C565" t="n">
        <x:f>MIN(47,INT(B565*47)+1)</x:f>
        <x:v>46</x:v>
      </x:c>
      <x:c r="D565" t="n">
        <x:f>INDEX(Datos_47_semanas!$B$4:$B$50,C565)</x:f>
        <x:v>449</x:v>
      </x:c>
      <x:c r="E565" t="n">
        <x:f>MIN($B$4,D565)*$B$7+MAX($B$4-D565,0)*$B$9-$B$4*$B$8</x:f>
        <x:v>200</x:v>
      </x:c>
      <x:c r="F565" t="n">
        <x:f>MIN($B$5,D565)*$B$7+MAX($B$5-D565,0)*$B$9-$B$5*$B$8</x:f>
        <x:v>240</x:v>
      </x:c>
      <x:c r="G565" t="n">
        <x:f>MIN($B$6,D565)*$B$7+MAX($B$6-D565,0)*$B$9-$B$6*$B$8</x:f>
        <x:v>320</x:v>
      </x:c>
      <x:c r="H565" t="n">
        <x:f>MAX(D565-$B$5,0)</x:f>
        <x:v>149</x:v>
      </x:c>
      <x:c r="I565" t="n">
        <x:f>MAX($B$5-D565,0)</x:f>
        <x:v>0</x:v>
      </x:c>
    </x:row>
    <x:row r="566">
      <x:c r="A566" t="n">
        <x:f>554</x:f>
        <x:v>554</x:v>
      </x:c>
      <x:c r="B566" t="n">
        <x:f>RAND()</x:f>
        <x:v>0.3684225386290034</x:v>
      </x:c>
      <x:c r="C566" t="n">
        <x:f>MIN(47,INT(B566*47)+1)</x:f>
        <x:v>18</x:v>
      </x:c>
      <x:c r="D566" t="n">
        <x:f>INDEX(Datos_47_semanas!$B$4:$B$50,C566)</x:f>
        <x:v>219</x:v>
      </x:c>
      <x:c r="E566" t="n">
        <x:f>MIN($B$4,D566)*$B$7+MAX($B$4-D566,0)*$B$9-$B$4*$B$8</x:f>
        <x:v>158.14999999999998</x:v>
      </x:c>
      <x:c r="F566" t="n">
        <x:f>MIN($B$5,D566)*$B$7+MAX($B$5-D566,0)*$B$9-$B$5*$B$8</x:f>
        <x:v>130.64999999999998</x:v>
      </x:c>
      <x:c r="G566" t="n">
        <x:f>MIN($B$6,D566)*$B$7+MAX($B$6-D566,0)*$B$9-$B$6*$B$8</x:f>
        <x:v>75.64999999999998</x:v>
      </x:c>
      <x:c r="H566" t="n">
        <x:f>MAX(D566-$B$5,0)</x:f>
        <x:v>0</x:v>
      </x:c>
      <x:c r="I566" t="n">
        <x:f>MAX($B$5-D566,0)</x:f>
        <x:v>81</x:v>
      </x:c>
    </x:row>
    <x:row r="567">
      <x:c r="A567" t="n">
        <x:f>555</x:f>
        <x:v>555</x:v>
      </x:c>
      <x:c r="B567" t="n">
        <x:f>RAND()</x:f>
        <x:v>0.8862092438287985</x:v>
      </x:c>
      <x:c r="C567" t="n">
        <x:f>MIN(47,INT(B567*47)+1)</x:f>
        <x:v>42</x:v>
      </x:c>
      <x:c r="D567" t="n">
        <x:f>INDEX(Datos_47_semanas!$B$4:$B$50,C567)</x:f>
        <x:v>146</x:v>
      </x:c>
      <x:c r="E567" t="n">
        <x:f>MIN($B$4,D567)*$B$7+MAX($B$4-D567,0)*$B$9-$B$4*$B$8</x:f>
        <x:v>59.599999999999966</x:v>
      </x:c>
      <x:c r="F567" t="n">
        <x:f>MIN($B$5,D567)*$B$7+MAX($B$5-D567,0)*$B$9-$B$5*$B$8</x:f>
        <x:v>32.099999999999966</x:v>
      </x:c>
      <x:c r="G567" t="n">
        <x:f>MIN($B$6,D567)*$B$7+MAX($B$6-D567,0)*$B$9-$B$6*$B$8</x:f>
        <x:v>-22.900000000000034</x:v>
      </x:c>
      <x:c r="H567" t="n">
        <x:f>MAX(D567-$B$5,0)</x:f>
        <x:v>0</x:v>
      </x:c>
      <x:c r="I567" t="n">
        <x:f>MAX($B$5-D567,0)</x:f>
        <x:v>154</x:v>
      </x:c>
    </x:row>
    <x:row r="568">
      <x:c r="A568" t="n">
        <x:f>556</x:f>
        <x:v>556</x:v>
      </x:c>
      <x:c r="B568" t="n">
        <x:f>RAND()</x:f>
        <x:v>0.5391935324498828</x:v>
      </x:c>
      <x:c r="C568" t="n">
        <x:f>MIN(47,INT(B568*47)+1)</x:f>
        <x:v>26</x:v>
      </x:c>
      <x:c r="D568" t="n">
        <x:f>INDEX(Datos_47_semanas!$B$4:$B$50,C568)</x:f>
        <x:v>183</x:v>
      </x:c>
      <x:c r="E568" t="n">
        <x:f>MIN($B$4,D568)*$B$7+MAX($B$4-D568,0)*$B$9-$B$4*$B$8</x:f>
        <x:v>109.55000000000001</x:v>
      </x:c>
      <x:c r="F568" t="n">
        <x:f>MIN($B$5,D568)*$B$7+MAX($B$5-D568,0)*$B$9-$B$5*$B$8</x:f>
        <x:v>82.05000000000001</x:v>
      </x:c>
      <x:c r="G568" t="n">
        <x:f>MIN($B$6,D568)*$B$7+MAX($B$6-D568,0)*$B$9-$B$6*$B$8</x:f>
        <x:v>27.049999999999955</x:v>
      </x:c>
      <x:c r="H568" t="n">
        <x:f>MAX(D568-$B$5,0)</x:f>
        <x:v>0</x:v>
      </x:c>
      <x:c r="I568" t="n">
        <x:f>MAX($B$5-D568,0)</x:f>
        <x:v>117</x:v>
      </x:c>
    </x:row>
    <x:row r="569">
      <x:c r="A569" t="n">
        <x:f>557</x:f>
        <x:v>557</x:v>
      </x:c>
      <x:c r="B569" t="n">
        <x:f>RAND()</x:f>
        <x:v>0.19442513661506</x:v>
      </x:c>
      <x:c r="C569" t="n">
        <x:f>MIN(47,INT(B569*47)+1)</x:f>
        <x:v>10</x:v>
      </x:c>
      <x:c r="D569" t="n">
        <x:f>INDEX(Datos_47_semanas!$B$4:$B$50,C569)</x:f>
        <x:v>98</x:v>
      </x:c>
      <x:c r="E569" t="n">
        <x:f>MIN($B$4,D569)*$B$7+MAX($B$4-D569,0)*$B$9-$B$4*$B$8</x:f>
        <x:v>-5.200000000000017</x:v>
      </x:c>
      <x:c r="F569" t="n">
        <x:f>MIN($B$5,D569)*$B$7+MAX($B$5-D569,0)*$B$9-$B$5*$B$8</x:f>
        <x:v>-32.70000000000002</x:v>
      </x:c>
      <x:c r="G569" t="n">
        <x:f>MIN($B$6,D569)*$B$7+MAX($B$6-D569,0)*$B$9-$B$6*$B$8</x:f>
        <x:v>-87.70000000000002</x:v>
      </x:c>
      <x:c r="H569" t="n">
        <x:f>MAX(D569-$B$5,0)</x:f>
        <x:v>0</x:v>
      </x:c>
      <x:c r="I569" t="n">
        <x:f>MAX($B$5-D569,0)</x:f>
        <x:v>202</x:v>
      </x:c>
    </x:row>
    <x:row r="570">
      <x:c r="A570" t="n">
        <x:f>558</x:f>
        <x:v>558</x:v>
      </x:c>
      <x:c r="B570" t="n">
        <x:f>RAND()</x:f>
        <x:v>0.7192738588433403</x:v>
      </x:c>
      <x:c r="C570" t="n">
        <x:f>MIN(47,INT(B570*47)+1)</x:f>
        <x:v>34</x:v>
      </x:c>
      <x:c r="D570" t="n">
        <x:f>INDEX(Datos_47_semanas!$B$4:$B$50,C570)</x:f>
        <x:v>281</x:v>
      </x:c>
      <x:c r="E570" t="n">
        <x:f>MIN($B$4,D570)*$B$7+MAX($B$4-D570,0)*$B$9-$B$4*$B$8</x:f>
        <x:v>200</x:v>
      </x:c>
      <x:c r="F570" t="n">
        <x:f>MIN($B$5,D570)*$B$7+MAX($B$5-D570,0)*$B$9-$B$5*$B$8</x:f>
        <x:v>214.34999999999997</x:v>
      </x:c>
      <x:c r="G570" t="n">
        <x:f>MIN($B$6,D570)*$B$7+MAX($B$6-D570,0)*$B$9-$B$6*$B$8</x:f>
        <x:v>159.34999999999997</x:v>
      </x:c>
      <x:c r="H570" t="n">
        <x:f>MAX(D570-$B$5,0)</x:f>
        <x:v>0</x:v>
      </x:c>
      <x:c r="I570" t="n">
        <x:f>MAX($B$5-D570,0)</x:f>
        <x:v>19</x:v>
      </x:c>
    </x:row>
    <x:row r="571">
      <x:c r="A571" t="n">
        <x:f>559</x:f>
        <x:v>559</x:v>
      </x:c>
      <x:c r="B571" t="n">
        <x:f>RAND()</x:f>
        <x:v>0.2814944797061397</x:v>
      </x:c>
      <x:c r="C571" t="n">
        <x:f>MIN(47,INT(B571*47)+1)</x:f>
        <x:v>14</x:v>
      </x:c>
      <x:c r="D571" t="n">
        <x:f>INDEX(Datos_47_semanas!$B$4:$B$50,C571)</x:f>
        <x:v>187</x:v>
      </x:c>
      <x:c r="E571" t="n">
        <x:f>MIN($B$4,D571)*$B$7+MAX($B$4-D571,0)*$B$9-$B$4*$B$8</x:f>
        <x:v>114.94999999999999</x:v>
      </x:c>
      <x:c r="F571" t="n">
        <x:f>MIN($B$5,D571)*$B$7+MAX($B$5-D571,0)*$B$9-$B$5*$B$8</x:f>
        <x:v>87.44999999999999</x:v>
      </x:c>
      <x:c r="G571" t="n">
        <x:f>MIN($B$6,D571)*$B$7+MAX($B$6-D571,0)*$B$9-$B$6*$B$8</x:f>
        <x:v>32.44999999999999</x:v>
      </x:c>
      <x:c r="H571" t="n">
        <x:f>MAX(D571-$B$5,0)</x:f>
        <x:v>0</x:v>
      </x:c>
      <x:c r="I571" t="n">
        <x:f>MAX($B$5-D571,0)</x:f>
        <x:v>113</x:v>
      </x:c>
    </x:row>
    <x:row r="572">
      <x:c r="A572" t="n">
        <x:f>560</x:f>
        <x:v>560</x:v>
      </x:c>
      <x:c r="B572" t="n">
        <x:f>RAND()</x:f>
        <x:v>0.009048558335754353</x:v>
      </x:c>
      <x:c r="C572" t="n">
        <x:f>MIN(47,INT(B572*47)+1)</x:f>
        <x:v>1</x:v>
      </x:c>
      <x:c r="D572" t="n">
        <x:f>INDEX(Datos_47_semanas!$B$4:$B$50,C572)</x:f>
        <x:v>418</x:v>
      </x:c>
      <x:c r="E572" t="n">
        <x:f>MIN($B$4,D572)*$B$7+MAX($B$4-D572,0)*$B$9-$B$4*$B$8</x:f>
        <x:v>200</x:v>
      </x:c>
      <x:c r="F572" t="n">
        <x:f>MIN($B$5,D572)*$B$7+MAX($B$5-D572,0)*$B$9-$B$5*$B$8</x:f>
        <x:v>240</x:v>
      </x:c>
      <x:c r="G572" t="n">
        <x:f>MIN($B$6,D572)*$B$7+MAX($B$6-D572,0)*$B$9-$B$6*$B$8</x:f>
        <x:v>320</x:v>
      </x:c>
      <x:c r="H572" t="n">
        <x:f>MAX(D572-$B$5,0)</x:f>
        <x:v>118</x:v>
      </x:c>
      <x:c r="I572" t="n">
        <x:f>MAX($B$5-D572,0)</x:f>
        <x:v>0</x:v>
      </x:c>
    </x:row>
    <x:row r="573">
      <x:c r="A573" t="n">
        <x:f>561</x:f>
        <x:v>561</x:v>
      </x:c>
      <x:c r="B573" t="n">
        <x:f>RAND()</x:f>
        <x:v>0.2029007382729131</x:v>
      </x:c>
      <x:c r="C573" t="n">
        <x:f>MIN(47,INT(B573*47)+1)</x:f>
        <x:v>10</x:v>
      </x:c>
      <x:c r="D573" t="n">
        <x:f>INDEX(Datos_47_semanas!$B$4:$B$50,C573)</x:f>
        <x:v>98</x:v>
      </x:c>
      <x:c r="E573" t="n">
        <x:f>MIN($B$4,D573)*$B$7+MAX($B$4-D573,0)*$B$9-$B$4*$B$8</x:f>
        <x:v>-5.200000000000017</x:v>
      </x:c>
      <x:c r="F573" t="n">
        <x:f>MIN($B$5,D573)*$B$7+MAX($B$5-D573,0)*$B$9-$B$5*$B$8</x:f>
        <x:v>-32.70000000000002</x:v>
      </x:c>
      <x:c r="G573" t="n">
        <x:f>MIN($B$6,D573)*$B$7+MAX($B$6-D573,0)*$B$9-$B$6*$B$8</x:f>
        <x:v>-87.70000000000002</x:v>
      </x:c>
      <x:c r="H573" t="n">
        <x:f>MAX(D573-$B$5,0)</x:f>
        <x:v>0</x:v>
      </x:c>
      <x:c r="I573" t="n">
        <x:f>MAX($B$5-D573,0)</x:f>
        <x:v>202</x:v>
      </x:c>
    </x:row>
    <x:row r="574">
      <x:c r="A574" t="n">
        <x:f>562</x:f>
        <x:v>562</x:v>
      </x:c>
      <x:c r="B574" t="n">
        <x:f>RAND()</x:f>
        <x:v>0.7391713504563449</x:v>
      </x:c>
      <x:c r="C574" t="n">
        <x:f>MIN(47,INT(B574*47)+1)</x:f>
        <x:v>35</x:v>
      </x:c>
      <x:c r="D574" t="n">
        <x:f>INDEX(Datos_47_semanas!$B$4:$B$50,C574)</x:f>
        <x:v>192</x:v>
      </x:c>
      <x:c r="E574" t="n">
        <x:f>MIN($B$4,D574)*$B$7+MAX($B$4-D574,0)*$B$9-$B$4*$B$8</x:f>
        <x:v>121.69999999999993</x:v>
      </x:c>
      <x:c r="F574" t="n">
        <x:f>MIN($B$5,D574)*$B$7+MAX($B$5-D574,0)*$B$9-$B$5*$B$8</x:f>
        <x:v>94.19999999999993</x:v>
      </x:c>
      <x:c r="G574" t="n">
        <x:f>MIN($B$6,D574)*$B$7+MAX($B$6-D574,0)*$B$9-$B$6*$B$8</x:f>
        <x:v>39.19999999999993</x:v>
      </x:c>
      <x:c r="H574" t="n">
        <x:f>MAX(D574-$B$5,0)</x:f>
        <x:v>0</x:v>
      </x:c>
      <x:c r="I574" t="n">
        <x:f>MAX($B$5-D574,0)</x:f>
        <x:v>108</x:v>
      </x:c>
    </x:row>
    <x:row r="575">
      <x:c r="A575" t="n">
        <x:f>563</x:f>
        <x:v>563</x:v>
      </x:c>
      <x:c r="B575" t="n">
        <x:f>RAND()</x:f>
        <x:v>0.03967290647133692</x:v>
      </x:c>
      <x:c r="C575" t="n">
        <x:f>MIN(47,INT(B575*47)+1)</x:f>
        <x:v>2</x:v>
      </x:c>
      <x:c r="D575" t="n">
        <x:f>INDEX(Datos_47_semanas!$B$4:$B$50,C575)</x:f>
        <x:v>282</x:v>
      </x:c>
      <x:c r="E575" t="n">
        <x:f>MIN($B$4,D575)*$B$7+MAX($B$4-D575,0)*$B$9-$B$4*$B$8</x:f>
        <x:v>200</x:v>
      </x:c>
      <x:c r="F575" t="n">
        <x:f>MIN($B$5,D575)*$B$7+MAX($B$5-D575,0)*$B$9-$B$5*$B$8</x:f>
        <x:v>215.69999999999993</x:v>
      </x:c>
      <x:c r="G575" t="n">
        <x:f>MIN($B$6,D575)*$B$7+MAX($B$6-D575,0)*$B$9-$B$6*$B$8</x:f>
        <x:v>160.69999999999993</x:v>
      </x:c>
      <x:c r="H575" t="n">
        <x:f>MAX(D575-$B$5,0)</x:f>
        <x:v>0</x:v>
      </x:c>
      <x:c r="I575" t="n">
        <x:f>MAX($B$5-D575,0)</x:f>
        <x:v>18</x:v>
      </x:c>
    </x:row>
    <x:row r="576">
      <x:c r="A576" t="n">
        <x:f>564</x:f>
        <x:v>564</x:v>
      </x:c>
      <x:c r="B576" t="n">
        <x:f>RAND()</x:f>
        <x:v>0.5077786676965981</x:v>
      </x:c>
      <x:c r="C576" t="n">
        <x:f>MIN(47,INT(B576*47)+1)</x:f>
        <x:v>24</x:v>
      </x:c>
      <x:c r="D576" t="n">
        <x:f>INDEX(Datos_47_semanas!$B$4:$B$50,C576)</x:f>
        <x:v>186</x:v>
      </x:c>
      <x:c r="E576" t="n">
        <x:f>MIN($B$4,D576)*$B$7+MAX($B$4-D576,0)*$B$9-$B$4*$B$8</x:f>
        <x:v>113.59999999999997</x:v>
      </x:c>
      <x:c r="F576" t="n">
        <x:f>MIN($B$5,D576)*$B$7+MAX($B$5-D576,0)*$B$9-$B$5*$B$8</x:f>
        <x:v>86.09999999999997</x:v>
      </x:c>
      <x:c r="G576" t="n">
        <x:f>MIN($B$6,D576)*$B$7+MAX($B$6-D576,0)*$B$9-$B$6*$B$8</x:f>
        <x:v>31.099999999999966</x:v>
      </x:c>
      <x:c r="H576" t="n">
        <x:f>MAX(D576-$B$5,0)</x:f>
        <x:v>0</x:v>
      </x:c>
      <x:c r="I576" t="n">
        <x:f>MAX($B$5-D576,0)</x:f>
        <x:v>114</x:v>
      </x:c>
    </x:row>
    <x:row r="577">
      <x:c r="A577" t="n">
        <x:f>565</x:f>
        <x:v>565</x:v>
      </x:c>
      <x:c r="B577" t="n">
        <x:f>RAND()</x:f>
        <x:v>0.9907778040026115</x:v>
      </x:c>
      <x:c r="C577" t="n">
        <x:f>MIN(47,INT(B577*47)+1)</x:f>
        <x:v>47</x:v>
      </x:c>
      <x:c r="D577" t="n">
        <x:f>INDEX(Datos_47_semanas!$B$4:$B$50,C577)</x:f>
        <x:v>256</x:v>
      </x:c>
      <x:c r="E577" t="n">
        <x:f>MIN($B$4,D577)*$B$7+MAX($B$4-D577,0)*$B$9-$B$4*$B$8</x:f>
        <x:v>200</x:v>
      </x:c>
      <x:c r="F577" t="n">
        <x:f>MIN($B$5,D577)*$B$7+MAX($B$5-D577,0)*$B$9-$B$5*$B$8</x:f>
        <x:v>180.59999999999997</x:v>
      </x:c>
      <x:c r="G577" t="n">
        <x:f>MIN($B$6,D577)*$B$7+MAX($B$6-D577,0)*$B$9-$B$6*$B$8</x:f>
        <x:v>125.59999999999997</x:v>
      </x:c>
      <x:c r="H577" t="n">
        <x:f>MAX(D577-$B$5,0)</x:f>
        <x:v>0</x:v>
      </x:c>
      <x:c r="I577" t="n">
        <x:f>MAX($B$5-D577,0)</x:f>
        <x:v>44</x:v>
      </x:c>
    </x:row>
    <x:row r="578">
      <x:c r="A578" t="n">
        <x:f>566</x:f>
        <x:v>566</x:v>
      </x:c>
      <x:c r="B578" t="n">
        <x:f>RAND()</x:f>
        <x:v>0.8995380303836646</x:v>
      </x:c>
      <x:c r="C578" t="n">
        <x:f>MIN(47,INT(B578*47)+1)</x:f>
        <x:v>43</x:v>
      </x:c>
      <x:c r="D578" t="n">
        <x:f>INDEX(Datos_47_semanas!$B$4:$B$50,C578)</x:f>
        <x:v>234</x:v>
      </x:c>
      <x:c r="E578" t="n">
        <x:f>MIN($B$4,D578)*$B$7+MAX($B$4-D578,0)*$B$9-$B$4*$B$8</x:f>
        <x:v>178.39999999999998</x:v>
      </x:c>
      <x:c r="F578" t="n">
        <x:f>MIN($B$5,D578)*$B$7+MAX($B$5-D578,0)*$B$9-$B$5*$B$8</x:f>
        <x:v>150.89999999999998</x:v>
      </x:c>
      <x:c r="G578" t="n">
        <x:f>MIN($B$6,D578)*$B$7+MAX($B$6-D578,0)*$B$9-$B$6*$B$8</x:f>
        <x:v>95.89999999999998</x:v>
      </x:c>
      <x:c r="H578" t="n">
        <x:f>MAX(D578-$B$5,0)</x:f>
        <x:v>0</x:v>
      </x:c>
      <x:c r="I578" t="n">
        <x:f>MAX($B$5-D578,0)</x:f>
        <x:v>66</x:v>
      </x:c>
    </x:row>
    <x:row r="579">
      <x:c r="A579" t="n">
        <x:f>567</x:f>
        <x:v>567</x:v>
      </x:c>
      <x:c r="B579" t="n">
        <x:f>RAND()</x:f>
        <x:v>0.702694092041598</x:v>
      </x:c>
      <x:c r="C579" t="n">
        <x:f>MIN(47,INT(B579*47)+1)</x:f>
        <x:v>34</x:v>
      </x:c>
      <x:c r="D579" t="n">
        <x:f>INDEX(Datos_47_semanas!$B$4:$B$50,C579)</x:f>
        <x:v>281</x:v>
      </x:c>
      <x:c r="E579" t="n">
        <x:f>MIN($B$4,D579)*$B$7+MAX($B$4-D579,0)*$B$9-$B$4*$B$8</x:f>
        <x:v>200</x:v>
      </x:c>
      <x:c r="F579" t="n">
        <x:f>MIN($B$5,D579)*$B$7+MAX($B$5-D579,0)*$B$9-$B$5*$B$8</x:f>
        <x:v>214.34999999999997</x:v>
      </x:c>
      <x:c r="G579" t="n">
        <x:f>MIN($B$6,D579)*$B$7+MAX($B$6-D579,0)*$B$9-$B$6*$B$8</x:f>
        <x:v>159.34999999999997</x:v>
      </x:c>
      <x:c r="H579" t="n">
        <x:f>MAX(D579-$B$5,0)</x:f>
        <x:v>0</x:v>
      </x:c>
      <x:c r="I579" t="n">
        <x:f>MAX($B$5-D579,0)</x:f>
        <x:v>19</x:v>
      </x:c>
    </x:row>
    <x:row r="580">
      <x:c r="A580" t="n">
        <x:f>568</x:f>
        <x:v>568</x:v>
      </x:c>
      <x:c r="B580" t="n">
        <x:f>RAND()</x:f>
        <x:v>0.6929408779722142</x:v>
      </x:c>
      <x:c r="C580" t="n">
        <x:f>MIN(47,INT(B580*47)+1)</x:f>
        <x:v>33</x:v>
      </x:c>
      <x:c r="D580" t="n">
        <x:f>INDEX(Datos_47_semanas!$B$4:$B$50,C580)</x:f>
        <x:v>373</x:v>
      </x:c>
      <x:c r="E580" t="n">
        <x:f>MIN($B$4,D580)*$B$7+MAX($B$4-D580,0)*$B$9-$B$4*$B$8</x:f>
        <x:v>200</x:v>
      </x:c>
      <x:c r="F580" t="n">
        <x:f>MIN($B$5,D580)*$B$7+MAX($B$5-D580,0)*$B$9-$B$5*$B$8</x:f>
        <x:v>240</x:v>
      </x:c>
      <x:c r="G580" t="n">
        <x:f>MIN($B$6,D580)*$B$7+MAX($B$6-D580,0)*$B$9-$B$6*$B$8</x:f>
        <x:v>283.54999999999995</x:v>
      </x:c>
      <x:c r="H580" t="n">
        <x:f>MAX(D580-$B$5,0)</x:f>
        <x:v>73</x:v>
      </x:c>
      <x:c r="I580" t="n">
        <x:f>MAX($B$5-D580,0)</x:f>
        <x:v>0</x:v>
      </x:c>
    </x:row>
    <x:row r="581">
      <x:c r="A581" t="n">
        <x:f>569</x:f>
        <x:v>569</x:v>
      </x:c>
      <x:c r="B581" t="n">
        <x:f>RAND()</x:f>
        <x:v>0.8173037667471496</x:v>
      </x:c>
      <x:c r="C581" t="n">
        <x:f>MIN(47,INT(B581*47)+1)</x:f>
        <x:v>39</x:v>
      </x:c>
      <x:c r="D581" t="n">
        <x:f>INDEX(Datos_47_semanas!$B$4:$B$50,C581)</x:f>
        <x:v>228</x:v>
      </x:c>
      <x:c r="E581" t="n">
        <x:f>MIN($B$4,D581)*$B$7+MAX($B$4-D581,0)*$B$9-$B$4*$B$8</x:f>
        <x:v>170.3</x:v>
      </x:c>
      <x:c r="F581" t="n">
        <x:f>MIN($B$5,D581)*$B$7+MAX($B$5-D581,0)*$B$9-$B$5*$B$8</x:f>
        <x:v>142.8</x:v>
      </x:c>
      <x:c r="G581" t="n">
        <x:f>MIN($B$6,D581)*$B$7+MAX($B$6-D581,0)*$B$9-$B$6*$B$8</x:f>
        <x:v>87.80000000000001</x:v>
      </x:c>
      <x:c r="H581" t="n">
        <x:f>MAX(D581-$B$5,0)</x:f>
        <x:v>0</x:v>
      </x:c>
      <x:c r="I581" t="n">
        <x:f>MAX($B$5-D581,0)</x:f>
        <x:v>72</x:v>
      </x:c>
    </x:row>
    <x:row r="582">
      <x:c r="A582" t="n">
        <x:f>570</x:f>
        <x:v>570</x:v>
      </x:c>
      <x:c r="B582" t="n">
        <x:f>RAND()</x:f>
        <x:v>0.05984725210896458</x:v>
      </x:c>
      <x:c r="C582" t="n">
        <x:f>MIN(47,INT(B582*47)+1)</x:f>
        <x:v>3</x:v>
      </x:c>
      <x:c r="D582" t="n">
        <x:f>INDEX(Datos_47_semanas!$B$4:$B$50,C582)</x:f>
        <x:v>128</x:v>
      </x:c>
      <x:c r="E582" t="n">
        <x:f>MIN($B$4,D582)*$B$7+MAX($B$4-D582,0)*$B$9-$B$4*$B$8</x:f>
        <x:v>35.29999999999998</x:v>
      </x:c>
      <x:c r="F582" t="n">
        <x:f>MIN($B$5,D582)*$B$7+MAX($B$5-D582,0)*$B$9-$B$5*$B$8</x:f>
        <x:v>7.800000000000011</x:v>
      </x:c>
      <x:c r="G582" t="n">
        <x:f>MIN($B$6,D582)*$B$7+MAX($B$6-D582,0)*$B$9-$B$6*$B$8</x:f>
        <x:v>-47.200000000000045</x:v>
      </x:c>
      <x:c r="H582" t="n">
        <x:f>MAX(D582-$B$5,0)</x:f>
        <x:v>0</x:v>
      </x:c>
      <x:c r="I582" t="n">
        <x:f>MAX($B$5-D582,0)</x:f>
        <x:v>172</x:v>
      </x:c>
    </x:row>
    <x:row r="583">
      <x:c r="A583" t="n">
        <x:f>571</x:f>
        <x:v>571</x:v>
      </x:c>
      <x:c r="B583" t="n">
        <x:f>RAND()</x:f>
        <x:v>0.2910627059983417</x:v>
      </x:c>
      <x:c r="C583" t="n">
        <x:f>MIN(47,INT(B583*47)+1)</x:f>
        <x:v>14</x:v>
      </x:c>
      <x:c r="D583" t="n">
        <x:f>INDEX(Datos_47_semanas!$B$4:$B$50,C583)</x:f>
        <x:v>187</x:v>
      </x:c>
      <x:c r="E583" t="n">
        <x:f>MIN($B$4,D583)*$B$7+MAX($B$4-D583,0)*$B$9-$B$4*$B$8</x:f>
        <x:v>114.94999999999999</x:v>
      </x:c>
      <x:c r="F583" t="n">
        <x:f>MIN($B$5,D583)*$B$7+MAX($B$5-D583,0)*$B$9-$B$5*$B$8</x:f>
        <x:v>87.44999999999999</x:v>
      </x:c>
      <x:c r="G583" t="n">
        <x:f>MIN($B$6,D583)*$B$7+MAX($B$6-D583,0)*$B$9-$B$6*$B$8</x:f>
        <x:v>32.44999999999999</x:v>
      </x:c>
      <x:c r="H583" t="n">
        <x:f>MAX(D583-$B$5,0)</x:f>
        <x:v>0</x:v>
      </x:c>
      <x:c r="I583" t="n">
        <x:f>MAX($B$5-D583,0)</x:f>
        <x:v>113</x:v>
      </x:c>
    </x:row>
    <x:row r="584">
      <x:c r="A584" t="n">
        <x:f>572</x:f>
        <x:v>572</x:v>
      </x:c>
      <x:c r="B584" t="n">
        <x:f>RAND()</x:f>
        <x:v>0.4906812751190389</x:v>
      </x:c>
      <x:c r="C584" t="n">
        <x:f>MIN(47,INT(B584*47)+1)</x:f>
        <x:v>24</x:v>
      </x:c>
      <x:c r="D584" t="n">
        <x:f>INDEX(Datos_47_semanas!$B$4:$B$50,C584)</x:f>
        <x:v>186</x:v>
      </x:c>
      <x:c r="E584" t="n">
        <x:f>MIN($B$4,D584)*$B$7+MAX($B$4-D584,0)*$B$9-$B$4*$B$8</x:f>
        <x:v>113.59999999999997</x:v>
      </x:c>
      <x:c r="F584" t="n">
        <x:f>MIN($B$5,D584)*$B$7+MAX($B$5-D584,0)*$B$9-$B$5*$B$8</x:f>
        <x:v>86.09999999999997</x:v>
      </x:c>
      <x:c r="G584" t="n">
        <x:f>MIN($B$6,D584)*$B$7+MAX($B$6-D584,0)*$B$9-$B$6*$B$8</x:f>
        <x:v>31.099999999999966</x:v>
      </x:c>
      <x:c r="H584" t="n">
        <x:f>MAX(D584-$B$5,0)</x:f>
        <x:v>0</x:v>
      </x:c>
      <x:c r="I584" t="n">
        <x:f>MAX($B$5-D584,0)</x:f>
        <x:v>114</x:v>
      </x:c>
    </x:row>
    <x:row r="585">
      <x:c r="A585" t="n">
        <x:f>573</x:f>
        <x:v>573</x:v>
      </x:c>
      <x:c r="B585" t="n">
        <x:f>RAND()</x:f>
        <x:v>0.21616772098199244</x:v>
      </x:c>
      <x:c r="C585" t="n">
        <x:f>MIN(47,INT(B585*47)+1)</x:f>
        <x:v>11</x:v>
      </x:c>
      <x:c r="D585" t="n">
        <x:f>INDEX(Datos_47_semanas!$B$4:$B$50,C585)</x:f>
        <x:v>268</x:v>
      </x:c>
      <x:c r="E585" t="n">
        <x:f>MIN($B$4,D585)*$B$7+MAX($B$4-D585,0)*$B$9-$B$4*$B$8</x:f>
        <x:v>200</x:v>
      </x:c>
      <x:c r="F585" t="n">
        <x:f>MIN($B$5,D585)*$B$7+MAX($B$5-D585,0)*$B$9-$B$5*$B$8</x:f>
        <x:v>196.8</x:v>
      </x:c>
      <x:c r="G585" t="n">
        <x:f>MIN($B$6,D585)*$B$7+MAX($B$6-D585,0)*$B$9-$B$6*$B$8</x:f>
        <x:v>141.8</x:v>
      </x:c>
      <x:c r="H585" t="n">
        <x:f>MAX(D585-$B$5,0)</x:f>
        <x:v>0</x:v>
      </x:c>
      <x:c r="I585" t="n">
        <x:f>MAX($B$5-D585,0)</x:f>
        <x:v>32</x:v>
      </x:c>
    </x:row>
    <x:row r="586">
      <x:c r="A586" t="n">
        <x:f>574</x:f>
        <x:v>574</x:v>
      </x:c>
      <x:c r="B586" t="n">
        <x:f>RAND()</x:f>
        <x:v>0.6135152927711508</x:v>
      </x:c>
      <x:c r="C586" t="n">
        <x:f>MIN(47,INT(B586*47)+1)</x:f>
        <x:v>29</x:v>
      </x:c>
      <x:c r="D586" t="n">
        <x:f>INDEX(Datos_47_semanas!$B$4:$B$50,C586)</x:f>
        <x:v>415</x:v>
      </x:c>
      <x:c r="E586" t="n">
        <x:f>MIN($B$4,D586)*$B$7+MAX($B$4-D586,0)*$B$9-$B$4*$B$8</x:f>
        <x:v>200</x:v>
      </x:c>
      <x:c r="F586" t="n">
        <x:f>MIN($B$5,D586)*$B$7+MAX($B$5-D586,0)*$B$9-$B$5*$B$8</x:f>
        <x:v>240</x:v>
      </x:c>
      <x:c r="G586" t="n">
        <x:f>MIN($B$6,D586)*$B$7+MAX($B$6-D586,0)*$B$9-$B$6*$B$8</x:f>
        <x:v>320</x:v>
      </x:c>
      <x:c r="H586" t="n">
        <x:f>MAX(D586-$B$5,0)</x:f>
        <x:v>115</x:v>
      </x:c>
      <x:c r="I586" t="n">
        <x:f>MAX($B$5-D586,0)</x:f>
        <x:v>0</x:v>
      </x:c>
    </x:row>
    <x:row r="587">
      <x:c r="A587" t="n">
        <x:f>575</x:f>
        <x:v>575</x:v>
      </x:c>
      <x:c r="B587" t="n">
        <x:f>RAND()</x:f>
        <x:v>0.3811420868172908</x:v>
      </x:c>
      <x:c r="C587" t="n">
        <x:f>MIN(47,INT(B587*47)+1)</x:f>
        <x:v>18</x:v>
      </x:c>
      <x:c r="D587" t="n">
        <x:f>INDEX(Datos_47_semanas!$B$4:$B$50,C587)</x:f>
        <x:v>219</x:v>
      </x:c>
      <x:c r="E587" t="n">
        <x:f>MIN($B$4,D587)*$B$7+MAX($B$4-D587,0)*$B$9-$B$4*$B$8</x:f>
        <x:v>158.14999999999998</x:v>
      </x:c>
      <x:c r="F587" t="n">
        <x:f>MIN($B$5,D587)*$B$7+MAX($B$5-D587,0)*$B$9-$B$5*$B$8</x:f>
        <x:v>130.64999999999998</x:v>
      </x:c>
      <x:c r="G587" t="n">
        <x:f>MIN($B$6,D587)*$B$7+MAX($B$6-D587,0)*$B$9-$B$6*$B$8</x:f>
        <x:v>75.64999999999998</x:v>
      </x:c>
      <x:c r="H587" t="n">
        <x:f>MAX(D587-$B$5,0)</x:f>
        <x:v>0</x:v>
      </x:c>
      <x:c r="I587" t="n">
        <x:f>MAX($B$5-D587,0)</x:f>
        <x:v>81</x:v>
      </x:c>
    </x:row>
    <x:row r="588">
      <x:c r="A588" t="n">
        <x:f>576</x:f>
        <x:v>576</x:v>
      </x:c>
      <x:c r="B588" t="n">
        <x:f>RAND()</x:f>
        <x:v>0.2710161961631471</x:v>
      </x:c>
      <x:c r="C588" t="n">
        <x:f>MIN(47,INT(B588*47)+1)</x:f>
        <x:v>13</x:v>
      </x:c>
      <x:c r="D588" t="n">
        <x:f>INDEX(Datos_47_semanas!$B$4:$B$50,C588)</x:f>
        <x:v>517</x:v>
      </x:c>
      <x:c r="E588" t="n">
        <x:f>MIN($B$4,D588)*$B$7+MAX($B$4-D588,0)*$B$9-$B$4*$B$8</x:f>
        <x:v>200</x:v>
      </x:c>
      <x:c r="F588" t="n">
        <x:f>MIN($B$5,D588)*$B$7+MAX($B$5-D588,0)*$B$9-$B$5*$B$8</x:f>
        <x:v>240</x:v>
      </x:c>
      <x:c r="G588" t="n">
        <x:f>MIN($B$6,D588)*$B$7+MAX($B$6-D588,0)*$B$9-$B$6*$B$8</x:f>
        <x:v>320</x:v>
      </x:c>
      <x:c r="H588" t="n">
        <x:f>MAX(D588-$B$5,0)</x:f>
        <x:v>217</x:v>
      </x:c>
      <x:c r="I588" t="n">
        <x:f>MAX($B$5-D588,0)</x:f>
        <x:v>0</x:v>
      </x:c>
    </x:row>
    <x:row r="589">
      <x:c r="A589" t="n">
        <x:f>577</x:f>
        <x:v>577</x:v>
      </x:c>
      <x:c r="B589" t="n">
        <x:f>RAND()</x:f>
        <x:v>0.4494445610006482</x:v>
      </x:c>
      <x:c r="C589" t="n">
        <x:f>MIN(47,INT(B589*47)+1)</x:f>
        <x:v>22</x:v>
      </x:c>
      <x:c r="D589" t="n">
        <x:f>INDEX(Datos_47_semanas!$B$4:$B$50,C589)</x:f>
        <x:v>171</x:v>
      </x:c>
      <x:c r="E589" t="n">
        <x:f>MIN($B$4,D589)*$B$7+MAX($B$4-D589,0)*$B$9-$B$4*$B$8</x:f>
        <x:v>93.34999999999997</x:v>
      </x:c>
      <x:c r="F589" t="n">
        <x:f>MIN($B$5,D589)*$B$7+MAX($B$5-D589,0)*$B$9-$B$5*$B$8</x:f>
        <x:v>65.84999999999997</x:v>
      </x:c>
      <x:c r="G589" t="n">
        <x:f>MIN($B$6,D589)*$B$7+MAX($B$6-D589,0)*$B$9-$B$6*$B$8</x:f>
        <x:v>10.849999999999966</x:v>
      </x:c>
      <x:c r="H589" t="n">
        <x:f>MAX(D589-$B$5,0)</x:f>
        <x:v>0</x:v>
      </x:c>
      <x:c r="I589" t="n">
        <x:f>MAX($B$5-D589,0)</x:f>
        <x:v>129</x:v>
      </x:c>
    </x:row>
    <x:row r="590">
      <x:c r="A590" t="n">
        <x:f>578</x:f>
        <x:v>578</x:v>
      </x:c>
      <x:c r="B590" t="n">
        <x:f>RAND()</x:f>
        <x:v>0.05235546589981144</x:v>
      </x:c>
      <x:c r="C590" t="n">
        <x:f>MIN(47,INT(B590*47)+1)</x:f>
        <x:v>3</x:v>
      </x:c>
      <x:c r="D590" t="n">
        <x:f>INDEX(Datos_47_semanas!$B$4:$B$50,C590)</x:f>
        <x:v>128</x:v>
      </x:c>
      <x:c r="E590" t="n">
        <x:f>MIN($B$4,D590)*$B$7+MAX($B$4-D590,0)*$B$9-$B$4*$B$8</x:f>
        <x:v>35.29999999999998</x:v>
      </x:c>
      <x:c r="F590" t="n">
        <x:f>MIN($B$5,D590)*$B$7+MAX($B$5-D590,0)*$B$9-$B$5*$B$8</x:f>
        <x:v>7.800000000000011</x:v>
      </x:c>
      <x:c r="G590" t="n">
        <x:f>MIN($B$6,D590)*$B$7+MAX($B$6-D590,0)*$B$9-$B$6*$B$8</x:f>
        <x:v>-47.200000000000045</x:v>
      </x:c>
      <x:c r="H590" t="n">
        <x:f>MAX(D590-$B$5,0)</x:f>
        <x:v>0</x:v>
      </x:c>
      <x:c r="I590" t="n">
        <x:f>MAX($B$5-D590,0)</x:f>
        <x:v>172</x:v>
      </x:c>
    </x:row>
    <x:row r="591">
      <x:c r="A591" t="n">
        <x:f>579</x:f>
        <x:v>579</x:v>
      </x:c>
      <x:c r="B591" t="n">
        <x:f>RAND()</x:f>
        <x:v>0.3364401357611695</x:v>
      </x:c>
      <x:c r="C591" t="n">
        <x:f>MIN(47,INT(B591*47)+1)</x:f>
        <x:v>16</x:v>
      </x:c>
      <x:c r="D591" t="n">
        <x:f>INDEX(Datos_47_semanas!$B$4:$B$50,C591)</x:f>
        <x:v>318</x:v>
      </x:c>
      <x:c r="E591" t="n">
        <x:f>MIN($B$4,D591)*$B$7+MAX($B$4-D591,0)*$B$9-$B$4*$B$8</x:f>
        <x:v>200</x:v>
      </x:c>
      <x:c r="F591" t="n">
        <x:f>MIN($B$5,D591)*$B$7+MAX($B$5-D591,0)*$B$9-$B$5*$B$8</x:f>
        <x:v>240</x:v>
      </x:c>
      <x:c r="G591" t="n">
        <x:f>MIN($B$6,D591)*$B$7+MAX($B$6-D591,0)*$B$9-$B$6*$B$8</x:f>
        <x:v>209.29999999999995</x:v>
      </x:c>
      <x:c r="H591" t="n">
        <x:f>MAX(D591-$B$5,0)</x:f>
        <x:v>18</x:v>
      </x:c>
      <x:c r="I591" t="n">
        <x:f>MAX($B$5-D591,0)</x:f>
        <x:v>0</x:v>
      </x:c>
    </x:row>
    <x:row r="592">
      <x:c r="A592" t="n">
        <x:f>580</x:f>
        <x:v>580</x:v>
      </x:c>
      <x:c r="B592" t="n">
        <x:f>RAND()</x:f>
        <x:v>0.8231298249392206</x:v>
      </x:c>
      <x:c r="C592" t="n">
        <x:f>MIN(47,INT(B592*47)+1)</x:f>
        <x:v>39</x:v>
      </x:c>
      <x:c r="D592" t="n">
        <x:f>INDEX(Datos_47_semanas!$B$4:$B$50,C592)</x:f>
        <x:v>228</x:v>
      </x:c>
      <x:c r="E592" t="n">
        <x:f>MIN($B$4,D592)*$B$7+MAX($B$4-D592,0)*$B$9-$B$4*$B$8</x:f>
        <x:v>170.3</x:v>
      </x:c>
      <x:c r="F592" t="n">
        <x:f>MIN($B$5,D592)*$B$7+MAX($B$5-D592,0)*$B$9-$B$5*$B$8</x:f>
        <x:v>142.8</x:v>
      </x:c>
      <x:c r="G592" t="n">
        <x:f>MIN($B$6,D592)*$B$7+MAX($B$6-D592,0)*$B$9-$B$6*$B$8</x:f>
        <x:v>87.80000000000001</x:v>
      </x:c>
      <x:c r="H592" t="n">
        <x:f>MAX(D592-$B$5,0)</x:f>
        <x:v>0</x:v>
      </x:c>
      <x:c r="I592" t="n">
        <x:f>MAX($B$5-D592,0)</x:f>
        <x:v>72</x:v>
      </x:c>
    </x:row>
    <x:row r="593">
      <x:c r="A593" t="n">
        <x:f>581</x:f>
        <x:v>581</x:v>
      </x:c>
      <x:c r="B593" t="n">
        <x:f>RAND()</x:f>
        <x:v>0.7351004820329456</x:v>
      </x:c>
      <x:c r="C593" t="n">
        <x:f>MIN(47,INT(B593*47)+1)</x:f>
        <x:v>35</x:v>
      </x:c>
      <x:c r="D593" t="n">
        <x:f>INDEX(Datos_47_semanas!$B$4:$B$50,C593)</x:f>
        <x:v>192</x:v>
      </x:c>
      <x:c r="E593" t="n">
        <x:f>MIN($B$4,D593)*$B$7+MAX($B$4-D593,0)*$B$9-$B$4*$B$8</x:f>
        <x:v>121.69999999999993</x:v>
      </x:c>
      <x:c r="F593" t="n">
        <x:f>MIN($B$5,D593)*$B$7+MAX($B$5-D593,0)*$B$9-$B$5*$B$8</x:f>
        <x:v>94.19999999999993</x:v>
      </x:c>
      <x:c r="G593" t="n">
        <x:f>MIN($B$6,D593)*$B$7+MAX($B$6-D593,0)*$B$9-$B$6*$B$8</x:f>
        <x:v>39.19999999999993</x:v>
      </x:c>
      <x:c r="H593" t="n">
        <x:f>MAX(D593-$B$5,0)</x:f>
        <x:v>0</x:v>
      </x:c>
      <x:c r="I593" t="n">
        <x:f>MAX($B$5-D593,0)</x:f>
        <x:v>108</x:v>
      </x:c>
    </x:row>
    <x:row r="594">
      <x:c r="A594" t="n">
        <x:f>582</x:f>
        <x:v>582</x:v>
      </x:c>
      <x:c r="B594" t="n">
        <x:f>RAND()</x:f>
        <x:v>0.34993343518142095</x:v>
      </x:c>
      <x:c r="C594" t="n">
        <x:f>MIN(47,INT(B594*47)+1)</x:f>
        <x:v>17</x:v>
      </x:c>
      <x:c r="D594" t="n">
        <x:f>INDEX(Datos_47_semanas!$B$4:$B$50,C594)</x:f>
        <x:v>154</x:v>
      </x:c>
      <x:c r="E594" t="n">
        <x:f>MIN($B$4,D594)*$B$7+MAX($B$4-D594,0)*$B$9-$B$4*$B$8</x:f>
        <x:v>70.39999999999998</x:v>
      </x:c>
      <x:c r="F594" t="n">
        <x:f>MIN($B$5,D594)*$B$7+MAX($B$5-D594,0)*$B$9-$B$5*$B$8</x:f>
        <x:v>42.89999999999998</x:v>
      </x:c>
      <x:c r="G594" t="n">
        <x:f>MIN($B$6,D594)*$B$7+MAX($B$6-D594,0)*$B$9-$B$6*$B$8</x:f>
        <x:v>-12.100000000000023</x:v>
      </x:c>
      <x:c r="H594" t="n">
        <x:f>MAX(D594-$B$5,0)</x:f>
        <x:v>0</x:v>
      </x:c>
      <x:c r="I594" t="n">
        <x:f>MAX($B$5-D594,0)</x:f>
        <x:v>146</x:v>
      </x:c>
    </x:row>
    <x:row r="595">
      <x:c r="A595" t="n">
        <x:f>583</x:f>
        <x:v>583</x:v>
      </x:c>
      <x:c r="B595" t="n">
        <x:f>RAND()</x:f>
        <x:v>0.3886515879781277</x:v>
      </x:c>
      <x:c r="C595" t="n">
        <x:f>MIN(47,INT(B595*47)+1)</x:f>
        <x:v>19</x:v>
      </x:c>
      <x:c r="D595" t="n">
        <x:f>INDEX(Datos_47_semanas!$B$4:$B$50,C595)</x:f>
        <x:v>470</x:v>
      </x:c>
      <x:c r="E595" t="n">
        <x:f>MIN($B$4,D595)*$B$7+MAX($B$4-D595,0)*$B$9-$B$4*$B$8</x:f>
        <x:v>200</x:v>
      </x:c>
      <x:c r="F595" t="n">
        <x:f>MIN($B$5,D595)*$B$7+MAX($B$5-D595,0)*$B$9-$B$5*$B$8</x:f>
        <x:v>240</x:v>
      </x:c>
      <x:c r="G595" t="n">
        <x:f>MIN($B$6,D595)*$B$7+MAX($B$6-D595,0)*$B$9-$B$6*$B$8</x:f>
        <x:v>320</x:v>
      </x:c>
      <x:c r="H595" t="n">
        <x:f>MAX(D595-$B$5,0)</x:f>
        <x:v>170</x:v>
      </x:c>
      <x:c r="I595" t="n">
        <x:f>MAX($B$5-D595,0)</x:f>
        <x:v>0</x:v>
      </x:c>
    </x:row>
    <x:row r="596">
      <x:c r="A596" t="n">
        <x:f>584</x:f>
        <x:v>584</x:v>
      </x:c>
      <x:c r="B596" t="n">
        <x:f>RAND()</x:f>
        <x:v>0.868121918447287</x:v>
      </x:c>
      <x:c r="C596" t="n">
        <x:f>MIN(47,INT(B596*47)+1)</x:f>
        <x:v>41</x:v>
      </x:c>
      <x:c r="D596" t="n">
        <x:f>INDEX(Datos_47_semanas!$B$4:$B$50,C596)</x:f>
        <x:v>383</x:v>
      </x:c>
      <x:c r="E596" t="n">
        <x:f>MIN($B$4,D596)*$B$7+MAX($B$4-D596,0)*$B$9-$B$4*$B$8</x:f>
        <x:v>200</x:v>
      </x:c>
      <x:c r="F596" t="n">
        <x:f>MIN($B$5,D596)*$B$7+MAX($B$5-D596,0)*$B$9-$B$5*$B$8</x:f>
        <x:v>240</x:v>
      </x:c>
      <x:c r="G596" t="n">
        <x:f>MIN($B$6,D596)*$B$7+MAX($B$6-D596,0)*$B$9-$B$6*$B$8</x:f>
        <x:v>297.04999999999995</x:v>
      </x:c>
      <x:c r="H596" t="n">
        <x:f>MAX(D596-$B$5,0)</x:f>
        <x:v>83</x:v>
      </x:c>
      <x:c r="I596" t="n">
        <x:f>MAX($B$5-D596,0)</x:f>
        <x:v>0</x:v>
      </x:c>
    </x:row>
    <x:row r="597">
      <x:c r="A597" t="n">
        <x:f>585</x:f>
        <x:v>585</x:v>
      </x:c>
      <x:c r="B597" t="n">
        <x:f>RAND()</x:f>
        <x:v>0.6200978847651264</x:v>
      </x:c>
      <x:c r="C597" t="n">
        <x:f>MIN(47,INT(B597*47)+1)</x:f>
        <x:v>30</x:v>
      </x:c>
      <x:c r="D597" t="n">
        <x:f>INDEX(Datos_47_semanas!$B$4:$B$50,C597)</x:f>
        <x:v>345</x:v>
      </x:c>
      <x:c r="E597" t="n">
        <x:f>MIN($B$4,D597)*$B$7+MAX($B$4-D597,0)*$B$9-$B$4*$B$8</x:f>
        <x:v>200</x:v>
      </x:c>
      <x:c r="F597" t="n">
        <x:f>MIN($B$5,D597)*$B$7+MAX($B$5-D597,0)*$B$9-$B$5*$B$8</x:f>
        <x:v>240</x:v>
      </x:c>
      <x:c r="G597" t="n">
        <x:f>MIN($B$6,D597)*$B$7+MAX($B$6-D597,0)*$B$9-$B$6*$B$8</x:f>
        <x:v>245.75</x:v>
      </x:c>
      <x:c r="H597" t="n">
        <x:f>MAX(D597-$B$5,0)</x:f>
        <x:v>45</x:v>
      </x:c>
      <x:c r="I597" t="n">
        <x:f>MAX($B$5-D597,0)</x:f>
        <x:v>0</x:v>
      </x:c>
    </x:row>
    <x:row r="598">
      <x:c r="A598" t="n">
        <x:f>586</x:f>
        <x:v>586</x:v>
      </x:c>
      <x:c r="B598" t="n">
        <x:f>RAND()</x:f>
        <x:v>0.5471027834953529</x:v>
      </x:c>
      <x:c r="C598" t="n">
        <x:f>MIN(47,INT(B598*47)+1)</x:f>
        <x:v>26</x:v>
      </x:c>
      <x:c r="D598" t="n">
        <x:f>INDEX(Datos_47_semanas!$B$4:$B$50,C598)</x:f>
        <x:v>183</x:v>
      </x:c>
      <x:c r="E598" t="n">
        <x:f>MIN($B$4,D598)*$B$7+MAX($B$4-D598,0)*$B$9-$B$4*$B$8</x:f>
        <x:v>109.55000000000001</x:v>
      </x:c>
      <x:c r="F598" t="n">
        <x:f>MIN($B$5,D598)*$B$7+MAX($B$5-D598,0)*$B$9-$B$5*$B$8</x:f>
        <x:v>82.05000000000001</x:v>
      </x:c>
      <x:c r="G598" t="n">
        <x:f>MIN($B$6,D598)*$B$7+MAX($B$6-D598,0)*$B$9-$B$6*$B$8</x:f>
        <x:v>27.049999999999955</x:v>
      </x:c>
      <x:c r="H598" t="n">
        <x:f>MAX(D598-$B$5,0)</x:f>
        <x:v>0</x:v>
      </x:c>
      <x:c r="I598" t="n">
        <x:f>MAX($B$5-D598,0)</x:f>
        <x:v>117</x:v>
      </x:c>
    </x:row>
    <x:row r="599">
      <x:c r="A599" t="n">
        <x:f>587</x:f>
        <x:v>587</x:v>
      </x:c>
      <x:c r="B599" t="n">
        <x:f>RAND()</x:f>
        <x:v>0.9859837930456017</x:v>
      </x:c>
      <x:c r="C599" t="n">
        <x:f>MIN(47,INT(B599*47)+1)</x:f>
        <x:v>47</x:v>
      </x:c>
      <x:c r="D599" t="n">
        <x:f>INDEX(Datos_47_semanas!$B$4:$B$50,C599)</x:f>
        <x:v>256</x:v>
      </x:c>
      <x:c r="E599" t="n">
        <x:f>MIN($B$4,D599)*$B$7+MAX($B$4-D599,0)*$B$9-$B$4*$B$8</x:f>
        <x:v>200</x:v>
      </x:c>
      <x:c r="F599" t="n">
        <x:f>MIN($B$5,D599)*$B$7+MAX($B$5-D599,0)*$B$9-$B$5*$B$8</x:f>
        <x:v>180.59999999999997</x:v>
      </x:c>
      <x:c r="G599" t="n">
        <x:f>MIN($B$6,D599)*$B$7+MAX($B$6-D599,0)*$B$9-$B$6*$B$8</x:f>
        <x:v>125.59999999999997</x:v>
      </x:c>
      <x:c r="H599" t="n">
        <x:f>MAX(D599-$B$5,0)</x:f>
        <x:v>0</x:v>
      </x:c>
      <x:c r="I599" t="n">
        <x:f>MAX($B$5-D599,0)</x:f>
        <x:v>44</x:v>
      </x:c>
    </x:row>
    <x:row r="600">
      <x:c r="A600" t="n">
        <x:f>588</x:f>
        <x:v>588</x:v>
      </x:c>
      <x:c r="B600" t="n">
        <x:f>RAND()</x:f>
        <x:v>0.05042339808472707</x:v>
      </x:c>
      <x:c r="C600" t="n">
        <x:f>MIN(47,INT(B600*47)+1)</x:f>
        <x:v>3</x:v>
      </x:c>
      <x:c r="D600" t="n">
        <x:f>INDEX(Datos_47_semanas!$B$4:$B$50,C600)</x:f>
        <x:v>128</x:v>
      </x:c>
      <x:c r="E600" t="n">
        <x:f>MIN($B$4,D600)*$B$7+MAX($B$4-D600,0)*$B$9-$B$4*$B$8</x:f>
        <x:v>35.29999999999998</x:v>
      </x:c>
      <x:c r="F600" t="n">
        <x:f>MIN($B$5,D600)*$B$7+MAX($B$5-D600,0)*$B$9-$B$5*$B$8</x:f>
        <x:v>7.800000000000011</x:v>
      </x:c>
      <x:c r="G600" t="n">
        <x:f>MIN($B$6,D600)*$B$7+MAX($B$6-D600,0)*$B$9-$B$6*$B$8</x:f>
        <x:v>-47.200000000000045</x:v>
      </x:c>
      <x:c r="H600" t="n">
        <x:f>MAX(D600-$B$5,0)</x:f>
        <x:v>0</x:v>
      </x:c>
      <x:c r="I600" t="n">
        <x:f>MAX($B$5-D600,0)</x:f>
        <x:v>172</x:v>
      </x:c>
    </x:row>
    <x:row r="601">
      <x:c r="A601" t="n">
        <x:f>589</x:f>
        <x:v>589</x:v>
      </x:c>
      <x:c r="B601" t="n">
        <x:f>RAND()</x:f>
        <x:v>0.4748682635132391</x:v>
      </x:c>
      <x:c r="C601" t="n">
        <x:f>MIN(47,INT(B601*47)+1)</x:f>
        <x:v>23</x:v>
      </x:c>
      <x:c r="D601" t="n">
        <x:f>INDEX(Datos_47_semanas!$B$4:$B$50,C601)</x:f>
        <x:v>565</x:v>
      </x:c>
      <x:c r="E601" t="n">
        <x:f>MIN($B$4,D601)*$B$7+MAX($B$4-D601,0)*$B$9-$B$4*$B$8</x:f>
        <x:v>200</x:v>
      </x:c>
      <x:c r="F601" t="n">
        <x:f>MIN($B$5,D601)*$B$7+MAX($B$5-D601,0)*$B$9-$B$5*$B$8</x:f>
        <x:v>240</x:v>
      </x:c>
      <x:c r="G601" t="n">
        <x:f>MIN($B$6,D601)*$B$7+MAX($B$6-D601,0)*$B$9-$B$6*$B$8</x:f>
        <x:v>320</x:v>
      </x:c>
      <x:c r="H601" t="n">
        <x:f>MAX(D601-$B$5,0)</x:f>
        <x:v>265</x:v>
      </x:c>
      <x:c r="I601" t="n">
        <x:f>MAX($B$5-D601,0)</x:f>
        <x:v>0</x:v>
      </x:c>
    </x:row>
    <x:row r="602">
      <x:c r="A602" t="n">
        <x:f>590</x:f>
        <x:v>590</x:v>
      </x:c>
      <x:c r="B602" t="n">
        <x:f>RAND()</x:f>
        <x:v>0.5528983891228071</x:v>
      </x:c>
      <x:c r="C602" t="n">
        <x:f>MIN(47,INT(B602*47)+1)</x:f>
        <x:v>26</x:v>
      </x:c>
      <x:c r="D602" t="n">
        <x:f>INDEX(Datos_47_semanas!$B$4:$B$50,C602)</x:f>
        <x:v>183</x:v>
      </x:c>
      <x:c r="E602" t="n">
        <x:f>MIN($B$4,D602)*$B$7+MAX($B$4-D602,0)*$B$9-$B$4*$B$8</x:f>
        <x:v>109.55000000000001</x:v>
      </x:c>
      <x:c r="F602" t="n">
        <x:f>MIN($B$5,D602)*$B$7+MAX($B$5-D602,0)*$B$9-$B$5*$B$8</x:f>
        <x:v>82.05000000000001</x:v>
      </x:c>
      <x:c r="G602" t="n">
        <x:f>MIN($B$6,D602)*$B$7+MAX($B$6-D602,0)*$B$9-$B$6*$B$8</x:f>
        <x:v>27.049999999999955</x:v>
      </x:c>
      <x:c r="H602" t="n">
        <x:f>MAX(D602-$B$5,0)</x:f>
        <x:v>0</x:v>
      </x:c>
      <x:c r="I602" t="n">
        <x:f>MAX($B$5-D602,0)</x:f>
        <x:v>117</x:v>
      </x:c>
    </x:row>
    <x:row r="603">
      <x:c r="A603" t="n">
        <x:f>591</x:f>
        <x:v>591</x:v>
      </x:c>
      <x:c r="B603" t="n">
        <x:f>RAND()</x:f>
        <x:v>0.18222415423343197</x:v>
      </x:c>
      <x:c r="C603" t="n">
        <x:f>MIN(47,INT(B603*47)+1)</x:f>
        <x:v>9</x:v>
      </x:c>
      <x:c r="D603" t="n">
        <x:f>INDEX(Datos_47_semanas!$B$4:$B$50,C603)</x:f>
        <x:v>155</x:v>
      </x:c>
      <x:c r="E603" t="n">
        <x:f>MIN($B$4,D603)*$B$7+MAX($B$4-D603,0)*$B$9-$B$4*$B$8</x:f>
        <x:v>71.75</x:v>
      </x:c>
      <x:c r="F603" t="n">
        <x:f>MIN($B$5,D603)*$B$7+MAX($B$5-D603,0)*$B$9-$B$5*$B$8</x:f>
        <x:v>44.25</x:v>
      </x:c>
      <x:c r="G603" t="n">
        <x:f>MIN($B$6,D603)*$B$7+MAX($B$6-D603,0)*$B$9-$B$6*$B$8</x:f>
        <x:v>-10.75</x:v>
      </x:c>
      <x:c r="H603" t="n">
        <x:f>MAX(D603-$B$5,0)</x:f>
        <x:v>0</x:v>
      </x:c>
      <x:c r="I603" t="n">
        <x:f>MAX($B$5-D603,0)</x:f>
        <x:v>145</x:v>
      </x:c>
    </x:row>
    <x:row r="604">
      <x:c r="A604" t="n">
        <x:f>592</x:f>
        <x:v>592</x:v>
      </x:c>
      <x:c r="B604" t="n">
        <x:f>RAND()</x:f>
        <x:v>0.2802275734582881</x:v>
      </x:c>
      <x:c r="C604" t="n">
        <x:f>MIN(47,INT(B604*47)+1)</x:f>
        <x:v>14</x:v>
      </x:c>
      <x:c r="D604" t="n">
        <x:f>INDEX(Datos_47_semanas!$B$4:$B$50,C604)</x:f>
        <x:v>187</x:v>
      </x:c>
      <x:c r="E604" t="n">
        <x:f>MIN($B$4,D604)*$B$7+MAX($B$4-D604,0)*$B$9-$B$4*$B$8</x:f>
        <x:v>114.94999999999999</x:v>
      </x:c>
      <x:c r="F604" t="n">
        <x:f>MIN($B$5,D604)*$B$7+MAX($B$5-D604,0)*$B$9-$B$5*$B$8</x:f>
        <x:v>87.44999999999999</x:v>
      </x:c>
      <x:c r="G604" t="n">
        <x:f>MIN($B$6,D604)*$B$7+MAX($B$6-D604,0)*$B$9-$B$6*$B$8</x:f>
        <x:v>32.44999999999999</x:v>
      </x:c>
      <x:c r="H604" t="n">
        <x:f>MAX(D604-$B$5,0)</x:f>
        <x:v>0</x:v>
      </x:c>
      <x:c r="I604" t="n">
        <x:f>MAX($B$5-D604,0)</x:f>
        <x:v>113</x:v>
      </x:c>
    </x:row>
    <x:row r="605">
      <x:c r="A605" t="n">
        <x:f>593</x:f>
        <x:v>593</x:v>
      </x:c>
      <x:c r="B605" t="n">
        <x:f>RAND()</x:f>
        <x:v>0.09234060888136342</x:v>
      </x:c>
      <x:c r="C605" t="n">
        <x:f>MIN(47,INT(B605*47)+1)</x:f>
        <x:v>5</x:v>
      </x:c>
      <x:c r="D605" t="n">
        <x:f>INDEX(Datos_47_semanas!$B$4:$B$50,C605)</x:f>
        <x:v>347</x:v>
      </x:c>
      <x:c r="E605" t="n">
        <x:f>MIN($B$4,D605)*$B$7+MAX($B$4-D605,0)*$B$9-$B$4*$B$8</x:f>
        <x:v>200</x:v>
      </x:c>
      <x:c r="F605" t="n">
        <x:f>MIN($B$5,D605)*$B$7+MAX($B$5-D605,0)*$B$9-$B$5*$B$8</x:f>
        <x:v>240</x:v>
      </x:c>
      <x:c r="G605" t="n">
        <x:f>MIN($B$6,D605)*$B$7+MAX($B$6-D605,0)*$B$9-$B$6*$B$8</x:f>
        <x:v>248.44999999999993</x:v>
      </x:c>
      <x:c r="H605" t="n">
        <x:f>MAX(D605-$B$5,0)</x:f>
        <x:v>47</x:v>
      </x:c>
      <x:c r="I605" t="n">
        <x:f>MAX($B$5-D605,0)</x:f>
        <x:v>0</x:v>
      </x:c>
    </x:row>
    <x:row r="606">
      <x:c r="A606" t="n">
        <x:f>594</x:f>
        <x:v>594</x:v>
      </x:c>
      <x:c r="B606" t="n">
        <x:f>RAND()</x:f>
        <x:v>0.8989148634700129</x:v>
      </x:c>
      <x:c r="C606" t="n">
        <x:f>MIN(47,INT(B606*47)+1)</x:f>
        <x:v>43</x:v>
      </x:c>
      <x:c r="D606" t="n">
        <x:f>INDEX(Datos_47_semanas!$B$4:$B$50,C606)</x:f>
        <x:v>234</x:v>
      </x:c>
      <x:c r="E606" t="n">
        <x:f>MIN($B$4,D606)*$B$7+MAX($B$4-D606,0)*$B$9-$B$4*$B$8</x:f>
        <x:v>178.39999999999998</x:v>
      </x:c>
      <x:c r="F606" t="n">
        <x:f>MIN($B$5,D606)*$B$7+MAX($B$5-D606,0)*$B$9-$B$5*$B$8</x:f>
        <x:v>150.89999999999998</x:v>
      </x:c>
      <x:c r="G606" t="n">
        <x:f>MIN($B$6,D606)*$B$7+MAX($B$6-D606,0)*$B$9-$B$6*$B$8</x:f>
        <x:v>95.89999999999998</x:v>
      </x:c>
      <x:c r="H606" t="n">
        <x:f>MAX(D606-$B$5,0)</x:f>
        <x:v>0</x:v>
      </x:c>
      <x:c r="I606" t="n">
        <x:f>MAX($B$5-D606,0)</x:f>
        <x:v>66</x:v>
      </x:c>
    </x:row>
    <x:row r="607">
      <x:c r="A607" t="n">
        <x:f>595</x:f>
        <x:v>595</x:v>
      </x:c>
      <x:c r="B607" t="n">
        <x:f>RAND()</x:f>
        <x:v>0.562914441255385</x:v>
      </x:c>
      <x:c r="C607" t="n">
        <x:f>MIN(47,INT(B607*47)+1)</x:f>
        <x:v>27</x:v>
      </x:c>
      <x:c r="D607" t="n">
        <x:f>INDEX(Datos_47_semanas!$B$4:$B$50,C607)</x:f>
        <x:v>293</x:v>
      </x:c>
      <x:c r="E607" t="n">
        <x:f>MIN($B$4,D607)*$B$7+MAX($B$4-D607,0)*$B$9-$B$4*$B$8</x:f>
        <x:v>200</x:v>
      </x:c>
      <x:c r="F607" t="n">
        <x:f>MIN($B$5,D607)*$B$7+MAX($B$5-D607,0)*$B$9-$B$5*$B$8</x:f>
        <x:v>230.55</x:v>
      </x:c>
      <x:c r="G607" t="n">
        <x:f>MIN($B$6,D607)*$B$7+MAX($B$6-D607,0)*$B$9-$B$6*$B$8</x:f>
        <x:v>175.54999999999995</x:v>
      </x:c>
      <x:c r="H607" t="n">
        <x:f>MAX(D607-$B$5,0)</x:f>
        <x:v>0</x:v>
      </x:c>
      <x:c r="I607" t="n">
        <x:f>MAX($B$5-D607,0)</x:f>
        <x:v>7</x:v>
      </x:c>
    </x:row>
    <x:row r="608">
      <x:c r="A608" t="n">
        <x:f>596</x:f>
        <x:v>596</x:v>
      </x:c>
      <x:c r="B608" t="n">
        <x:f>RAND()</x:f>
        <x:v>0.6252846165688742</x:v>
      </x:c>
      <x:c r="C608" t="n">
        <x:f>MIN(47,INT(B608*47)+1)</x:f>
        <x:v>30</x:v>
      </x:c>
      <x:c r="D608" t="n">
        <x:f>INDEX(Datos_47_semanas!$B$4:$B$50,C608)</x:f>
        <x:v>345</x:v>
      </x:c>
      <x:c r="E608" t="n">
        <x:f>MIN($B$4,D608)*$B$7+MAX($B$4-D608,0)*$B$9-$B$4*$B$8</x:f>
        <x:v>200</x:v>
      </x:c>
      <x:c r="F608" t="n">
        <x:f>MIN($B$5,D608)*$B$7+MAX($B$5-D608,0)*$B$9-$B$5*$B$8</x:f>
        <x:v>240</x:v>
      </x:c>
      <x:c r="G608" t="n">
        <x:f>MIN($B$6,D608)*$B$7+MAX($B$6-D608,0)*$B$9-$B$6*$B$8</x:f>
        <x:v>245.75</x:v>
      </x:c>
      <x:c r="H608" t="n">
        <x:f>MAX(D608-$B$5,0)</x:f>
        <x:v>45</x:v>
      </x:c>
      <x:c r="I608" t="n">
        <x:f>MAX($B$5-D608,0)</x:f>
        <x:v>0</x:v>
      </x:c>
    </x:row>
    <x:row r="609">
      <x:c r="A609" t="n">
        <x:f>597</x:f>
        <x:v>597</x:v>
      </x:c>
      <x:c r="B609" t="n">
        <x:f>RAND()</x:f>
        <x:v>0.7325917693744632</x:v>
      </x:c>
      <x:c r="C609" t="n">
        <x:f>MIN(47,INT(B609*47)+1)</x:f>
        <x:v>35</x:v>
      </x:c>
      <x:c r="D609" t="n">
        <x:f>INDEX(Datos_47_semanas!$B$4:$B$50,C609)</x:f>
        <x:v>192</x:v>
      </x:c>
      <x:c r="E609" t="n">
        <x:f>MIN($B$4,D609)*$B$7+MAX($B$4-D609,0)*$B$9-$B$4*$B$8</x:f>
        <x:v>121.69999999999993</x:v>
      </x:c>
      <x:c r="F609" t="n">
        <x:f>MIN($B$5,D609)*$B$7+MAX($B$5-D609,0)*$B$9-$B$5*$B$8</x:f>
        <x:v>94.19999999999993</x:v>
      </x:c>
      <x:c r="G609" t="n">
        <x:f>MIN($B$6,D609)*$B$7+MAX($B$6-D609,0)*$B$9-$B$6*$B$8</x:f>
        <x:v>39.19999999999993</x:v>
      </x:c>
      <x:c r="H609" t="n">
        <x:f>MAX(D609-$B$5,0)</x:f>
        <x:v>0</x:v>
      </x:c>
      <x:c r="I609" t="n">
        <x:f>MAX($B$5-D609,0)</x:f>
        <x:v>108</x:v>
      </x:c>
    </x:row>
    <x:row r="610">
      <x:c r="A610" t="n">
        <x:f>598</x:f>
        <x:v>598</x:v>
      </x:c>
      <x:c r="B610" t="n">
        <x:f>RAND()</x:f>
        <x:v>0.3364011394686447</x:v>
      </x:c>
      <x:c r="C610" t="n">
        <x:f>MIN(47,INT(B610*47)+1)</x:f>
        <x:v>16</x:v>
      </x:c>
      <x:c r="D610" t="n">
        <x:f>INDEX(Datos_47_semanas!$B$4:$B$50,C610)</x:f>
        <x:v>318</x:v>
      </x:c>
      <x:c r="E610" t="n">
        <x:f>MIN($B$4,D610)*$B$7+MAX($B$4-D610,0)*$B$9-$B$4*$B$8</x:f>
        <x:v>200</x:v>
      </x:c>
      <x:c r="F610" t="n">
        <x:f>MIN($B$5,D610)*$B$7+MAX($B$5-D610,0)*$B$9-$B$5*$B$8</x:f>
        <x:v>240</x:v>
      </x:c>
      <x:c r="G610" t="n">
        <x:f>MIN($B$6,D610)*$B$7+MAX($B$6-D610,0)*$B$9-$B$6*$B$8</x:f>
        <x:v>209.29999999999995</x:v>
      </x:c>
      <x:c r="H610" t="n">
        <x:f>MAX(D610-$B$5,0)</x:f>
        <x:v>18</x:v>
      </x:c>
      <x:c r="I610" t="n">
        <x:f>MAX($B$5-D610,0)</x:f>
        <x:v>0</x:v>
      </x:c>
    </x:row>
    <x:row r="611">
      <x:c r="A611" t="n">
        <x:f>599</x:f>
        <x:v>599</x:v>
      </x:c>
      <x:c r="B611" t="n">
        <x:f>RAND()</x:f>
        <x:v>0.4565135395739779</x:v>
      </x:c>
      <x:c r="C611" t="n">
        <x:f>MIN(47,INT(B611*47)+1)</x:f>
        <x:v>22</x:v>
      </x:c>
      <x:c r="D611" t="n">
        <x:f>INDEX(Datos_47_semanas!$B$4:$B$50,C611)</x:f>
        <x:v>171</x:v>
      </x:c>
      <x:c r="E611" t="n">
        <x:f>MIN($B$4,D611)*$B$7+MAX($B$4-D611,0)*$B$9-$B$4*$B$8</x:f>
        <x:v>93.34999999999997</x:v>
      </x:c>
      <x:c r="F611" t="n">
        <x:f>MIN($B$5,D611)*$B$7+MAX($B$5-D611,0)*$B$9-$B$5*$B$8</x:f>
        <x:v>65.84999999999997</x:v>
      </x:c>
      <x:c r="G611" t="n">
        <x:f>MIN($B$6,D611)*$B$7+MAX($B$6-D611,0)*$B$9-$B$6*$B$8</x:f>
        <x:v>10.849999999999966</x:v>
      </x:c>
      <x:c r="H611" t="n">
        <x:f>MAX(D611-$B$5,0)</x:f>
        <x:v>0</x:v>
      </x:c>
      <x:c r="I611" t="n">
        <x:f>MAX($B$5-D611,0)</x:f>
        <x:v>129</x:v>
      </x:c>
    </x:row>
    <x:row r="612">
      <x:c r="A612" t="n">
        <x:f>600</x:f>
        <x:v>600</x:v>
      </x:c>
      <x:c r="B612" t="n">
        <x:f>RAND()</x:f>
        <x:v>0.39213341049269</x:v>
      </x:c>
      <x:c r="C612" t="n">
        <x:f>MIN(47,INT(B612*47)+1)</x:f>
        <x:v>19</x:v>
      </x:c>
      <x:c r="D612" t="n">
        <x:f>INDEX(Datos_47_semanas!$B$4:$B$50,C612)</x:f>
        <x:v>470</x:v>
      </x:c>
      <x:c r="E612" t="n">
        <x:f>MIN($B$4,D612)*$B$7+MAX($B$4-D612,0)*$B$9-$B$4*$B$8</x:f>
        <x:v>200</x:v>
      </x:c>
      <x:c r="F612" t="n">
        <x:f>MIN($B$5,D612)*$B$7+MAX($B$5-D612,0)*$B$9-$B$5*$B$8</x:f>
        <x:v>240</x:v>
      </x:c>
      <x:c r="G612" t="n">
        <x:f>MIN($B$6,D612)*$B$7+MAX($B$6-D612,0)*$B$9-$B$6*$B$8</x:f>
        <x:v>320</x:v>
      </x:c>
      <x:c r="H612" t="n">
        <x:f>MAX(D612-$B$5,0)</x:f>
        <x:v>170</x:v>
      </x:c>
      <x:c r="I612" t="n">
        <x:f>MAX($B$5-D612,0)</x:f>
        <x:v>0</x:v>
      </x:c>
    </x:row>
    <x:row r="613">
      <x:c r="A613" t="n">
        <x:f>601</x:f>
        <x:v>601</x:v>
      </x:c>
      <x:c r="B613" t="n">
        <x:f>RAND()</x:f>
        <x:v>0.0036981214962598097</x:v>
      </x:c>
      <x:c r="C613" t="n">
        <x:f>MIN(47,INT(B613*47)+1)</x:f>
        <x:v>1</x:v>
      </x:c>
      <x:c r="D613" t="n">
        <x:f>INDEX(Datos_47_semanas!$B$4:$B$50,C613)</x:f>
        <x:v>418</x:v>
      </x:c>
      <x:c r="E613" t="n">
        <x:f>MIN($B$4,D613)*$B$7+MAX($B$4-D613,0)*$B$9-$B$4*$B$8</x:f>
        <x:v>200</x:v>
      </x:c>
      <x:c r="F613" t="n">
        <x:f>MIN($B$5,D613)*$B$7+MAX($B$5-D613,0)*$B$9-$B$5*$B$8</x:f>
        <x:v>240</x:v>
      </x:c>
      <x:c r="G613" t="n">
        <x:f>MIN($B$6,D613)*$B$7+MAX($B$6-D613,0)*$B$9-$B$6*$B$8</x:f>
        <x:v>320</x:v>
      </x:c>
      <x:c r="H613" t="n">
        <x:f>MAX(D613-$B$5,0)</x:f>
        <x:v>118</x:v>
      </x:c>
      <x:c r="I613" t="n">
        <x:f>MAX($B$5-D613,0)</x:f>
        <x:v>0</x:v>
      </x:c>
    </x:row>
    <x:row r="614">
      <x:c r="A614" t="n">
        <x:f>602</x:f>
        <x:v>602</x:v>
      </x:c>
      <x:c r="B614" t="n">
        <x:f>RAND()</x:f>
        <x:v>0.37744769070981976</x:v>
      </x:c>
      <x:c r="C614" t="n">
        <x:f>MIN(47,INT(B614*47)+1)</x:f>
        <x:v>18</x:v>
      </x:c>
      <x:c r="D614" t="n">
        <x:f>INDEX(Datos_47_semanas!$B$4:$B$50,C614)</x:f>
        <x:v>219</x:v>
      </x:c>
      <x:c r="E614" t="n">
        <x:f>MIN($B$4,D614)*$B$7+MAX($B$4-D614,0)*$B$9-$B$4*$B$8</x:f>
        <x:v>158.14999999999998</x:v>
      </x:c>
      <x:c r="F614" t="n">
        <x:f>MIN($B$5,D614)*$B$7+MAX($B$5-D614,0)*$B$9-$B$5*$B$8</x:f>
        <x:v>130.64999999999998</x:v>
      </x:c>
      <x:c r="G614" t="n">
        <x:f>MIN($B$6,D614)*$B$7+MAX($B$6-D614,0)*$B$9-$B$6*$B$8</x:f>
        <x:v>75.64999999999998</x:v>
      </x:c>
      <x:c r="H614" t="n">
        <x:f>MAX(D614-$B$5,0)</x:f>
        <x:v>0</x:v>
      </x:c>
      <x:c r="I614" t="n">
        <x:f>MAX($B$5-D614,0)</x:f>
        <x:v>81</x:v>
      </x:c>
    </x:row>
    <x:row r="615">
      <x:c r="A615" t="n">
        <x:f>603</x:f>
        <x:v>603</x:v>
      </x:c>
      <x:c r="B615" t="n">
        <x:f>RAND()</x:f>
        <x:v>0.0248811366075673</x:v>
      </x:c>
      <x:c r="C615" t="n">
        <x:f>MIN(47,INT(B615*47)+1)</x:f>
        <x:v>2</x:v>
      </x:c>
      <x:c r="D615" t="n">
        <x:f>INDEX(Datos_47_semanas!$B$4:$B$50,C615)</x:f>
        <x:v>282</x:v>
      </x:c>
      <x:c r="E615" t="n">
        <x:f>MIN($B$4,D615)*$B$7+MAX($B$4-D615,0)*$B$9-$B$4*$B$8</x:f>
        <x:v>200</x:v>
      </x:c>
      <x:c r="F615" t="n">
        <x:f>MIN($B$5,D615)*$B$7+MAX($B$5-D615,0)*$B$9-$B$5*$B$8</x:f>
        <x:v>215.69999999999993</x:v>
      </x:c>
      <x:c r="G615" t="n">
        <x:f>MIN($B$6,D615)*$B$7+MAX($B$6-D615,0)*$B$9-$B$6*$B$8</x:f>
        <x:v>160.69999999999993</x:v>
      </x:c>
      <x:c r="H615" t="n">
        <x:f>MAX(D615-$B$5,0)</x:f>
        <x:v>0</x:v>
      </x:c>
      <x:c r="I615" t="n">
        <x:f>MAX($B$5-D615,0)</x:f>
        <x:v>18</x:v>
      </x:c>
    </x:row>
    <x:row r="616">
      <x:c r="A616" t="n">
        <x:f>604</x:f>
        <x:v>604</x:v>
      </x:c>
      <x:c r="B616" t="n">
        <x:f>RAND()</x:f>
        <x:v>0.37688992639287855</x:v>
      </x:c>
      <x:c r="C616" t="n">
        <x:f>MIN(47,INT(B616*47)+1)</x:f>
        <x:v>18</x:v>
      </x:c>
      <x:c r="D616" t="n">
        <x:f>INDEX(Datos_47_semanas!$B$4:$B$50,C616)</x:f>
        <x:v>219</x:v>
      </x:c>
      <x:c r="E616" t="n">
        <x:f>MIN($B$4,D616)*$B$7+MAX($B$4-D616,0)*$B$9-$B$4*$B$8</x:f>
        <x:v>158.14999999999998</x:v>
      </x:c>
      <x:c r="F616" t="n">
        <x:f>MIN($B$5,D616)*$B$7+MAX($B$5-D616,0)*$B$9-$B$5*$B$8</x:f>
        <x:v>130.64999999999998</x:v>
      </x:c>
      <x:c r="G616" t="n">
        <x:f>MIN($B$6,D616)*$B$7+MAX($B$6-D616,0)*$B$9-$B$6*$B$8</x:f>
        <x:v>75.64999999999998</x:v>
      </x:c>
      <x:c r="H616" t="n">
        <x:f>MAX(D616-$B$5,0)</x:f>
        <x:v>0</x:v>
      </x:c>
      <x:c r="I616" t="n">
        <x:f>MAX($B$5-D616,0)</x:f>
        <x:v>81</x:v>
      </x:c>
    </x:row>
    <x:row r="617">
      <x:c r="A617" t="n">
        <x:f>605</x:f>
        <x:v>605</x:v>
      </x:c>
      <x:c r="B617" t="n">
        <x:f>RAND()</x:f>
        <x:v>0.511092762166173</x:v>
      </x:c>
      <x:c r="C617" t="n">
        <x:f>MIN(47,INT(B617*47)+1)</x:f>
        <x:v>25</x:v>
      </x:c>
      <x:c r="D617" t="n">
        <x:f>INDEX(Datos_47_semanas!$B$4:$B$50,C617)</x:f>
        <x:v>218</x:v>
      </x:c>
      <x:c r="E617" t="n">
        <x:f>MIN($B$4,D617)*$B$7+MAX($B$4-D617,0)*$B$9-$B$4*$B$8</x:f>
        <x:v>156.8</x:v>
      </x:c>
      <x:c r="F617" t="n">
        <x:f>MIN($B$5,D617)*$B$7+MAX($B$5-D617,0)*$B$9-$B$5*$B$8</x:f>
        <x:v>129.3</x:v>
      </x:c>
      <x:c r="G617" t="n">
        <x:f>MIN($B$6,D617)*$B$7+MAX($B$6-D617,0)*$B$9-$B$6*$B$8</x:f>
        <x:v>74.30000000000001</x:v>
      </x:c>
      <x:c r="H617" t="n">
        <x:f>MAX(D617-$B$5,0)</x:f>
        <x:v>0</x:v>
      </x:c>
      <x:c r="I617" t="n">
        <x:f>MAX($B$5-D617,0)</x:f>
        <x:v>82</x:v>
      </x:c>
    </x:row>
    <x:row r="618">
      <x:c r="A618" t="n">
        <x:f>606</x:f>
        <x:v>606</x:v>
      </x:c>
      <x:c r="B618" t="n">
        <x:f>RAND()</x:f>
        <x:v>0.7236499866099808</x:v>
      </x:c>
      <x:c r="C618" t="n">
        <x:f>MIN(47,INT(B618*47)+1)</x:f>
        <x:v>35</x:v>
      </x:c>
      <x:c r="D618" t="n">
        <x:f>INDEX(Datos_47_semanas!$B$4:$B$50,C618)</x:f>
        <x:v>192</x:v>
      </x:c>
      <x:c r="E618" t="n">
        <x:f>MIN($B$4,D618)*$B$7+MAX($B$4-D618,0)*$B$9-$B$4*$B$8</x:f>
        <x:v>121.69999999999993</x:v>
      </x:c>
      <x:c r="F618" t="n">
        <x:f>MIN($B$5,D618)*$B$7+MAX($B$5-D618,0)*$B$9-$B$5*$B$8</x:f>
        <x:v>94.19999999999993</x:v>
      </x:c>
      <x:c r="G618" t="n">
        <x:f>MIN($B$6,D618)*$B$7+MAX($B$6-D618,0)*$B$9-$B$6*$B$8</x:f>
        <x:v>39.19999999999993</x:v>
      </x:c>
      <x:c r="H618" t="n">
        <x:f>MAX(D618-$B$5,0)</x:f>
        <x:v>0</x:v>
      </x:c>
      <x:c r="I618" t="n">
        <x:f>MAX($B$5-D618,0)</x:f>
        <x:v>108</x:v>
      </x:c>
    </x:row>
    <x:row r="619">
      <x:c r="A619" t="n">
        <x:f>607</x:f>
        <x:v>607</x:v>
      </x:c>
      <x:c r="B619" t="n">
        <x:f>RAND()</x:f>
        <x:v>0.8591733556679126</x:v>
      </x:c>
      <x:c r="C619" t="n">
        <x:f>MIN(47,INT(B619*47)+1)</x:f>
        <x:v>41</x:v>
      </x:c>
      <x:c r="D619" t="n">
        <x:f>INDEX(Datos_47_semanas!$B$4:$B$50,C619)</x:f>
        <x:v>383</x:v>
      </x:c>
      <x:c r="E619" t="n">
        <x:f>MIN($B$4,D619)*$B$7+MAX($B$4-D619,0)*$B$9-$B$4*$B$8</x:f>
        <x:v>200</x:v>
      </x:c>
      <x:c r="F619" t="n">
        <x:f>MIN($B$5,D619)*$B$7+MAX($B$5-D619,0)*$B$9-$B$5*$B$8</x:f>
        <x:v>240</x:v>
      </x:c>
      <x:c r="G619" t="n">
        <x:f>MIN($B$6,D619)*$B$7+MAX($B$6-D619,0)*$B$9-$B$6*$B$8</x:f>
        <x:v>297.04999999999995</x:v>
      </x:c>
      <x:c r="H619" t="n">
        <x:f>MAX(D619-$B$5,0)</x:f>
        <x:v>83</x:v>
      </x:c>
      <x:c r="I619" t="n">
        <x:f>MAX($B$5-D619,0)</x:f>
        <x:v>0</x:v>
      </x:c>
    </x:row>
    <x:row r="620">
      <x:c r="A620" t="n">
        <x:f>608</x:f>
        <x:v>608</x:v>
      </x:c>
      <x:c r="B620" t="n">
        <x:f>RAND()</x:f>
        <x:v>0.20413378438896657</x:v>
      </x:c>
      <x:c r="C620" t="n">
        <x:f>MIN(47,INT(B620*47)+1)</x:f>
        <x:v>10</x:v>
      </x:c>
      <x:c r="D620" t="n">
        <x:f>INDEX(Datos_47_semanas!$B$4:$B$50,C620)</x:f>
        <x:v>98</x:v>
      </x:c>
      <x:c r="E620" t="n">
        <x:f>MIN($B$4,D620)*$B$7+MAX($B$4-D620,0)*$B$9-$B$4*$B$8</x:f>
        <x:v>-5.200000000000017</x:v>
      </x:c>
      <x:c r="F620" t="n">
        <x:f>MIN($B$5,D620)*$B$7+MAX($B$5-D620,0)*$B$9-$B$5*$B$8</x:f>
        <x:v>-32.70000000000002</x:v>
      </x:c>
      <x:c r="G620" t="n">
        <x:f>MIN($B$6,D620)*$B$7+MAX($B$6-D620,0)*$B$9-$B$6*$B$8</x:f>
        <x:v>-87.70000000000002</x:v>
      </x:c>
      <x:c r="H620" t="n">
        <x:f>MAX(D620-$B$5,0)</x:f>
        <x:v>0</x:v>
      </x:c>
      <x:c r="I620" t="n">
        <x:f>MAX($B$5-D620,0)</x:f>
        <x:v>202</x:v>
      </x:c>
    </x:row>
    <x:row r="621">
      <x:c r="A621" t="n">
        <x:f>609</x:f>
        <x:v>609</x:v>
      </x:c>
      <x:c r="B621" t="n">
        <x:f>RAND()</x:f>
        <x:v>0.2692881120363815</x:v>
      </x:c>
      <x:c r="C621" t="n">
        <x:f>MIN(47,INT(B621*47)+1)</x:f>
        <x:v>13</x:v>
      </x:c>
      <x:c r="D621" t="n">
        <x:f>INDEX(Datos_47_semanas!$B$4:$B$50,C621)</x:f>
        <x:v>517</x:v>
      </x:c>
      <x:c r="E621" t="n">
        <x:f>MIN($B$4,D621)*$B$7+MAX($B$4-D621,0)*$B$9-$B$4*$B$8</x:f>
        <x:v>200</x:v>
      </x:c>
      <x:c r="F621" t="n">
        <x:f>MIN($B$5,D621)*$B$7+MAX($B$5-D621,0)*$B$9-$B$5*$B$8</x:f>
        <x:v>240</x:v>
      </x:c>
      <x:c r="G621" t="n">
        <x:f>MIN($B$6,D621)*$B$7+MAX($B$6-D621,0)*$B$9-$B$6*$B$8</x:f>
        <x:v>320</x:v>
      </x:c>
      <x:c r="H621" t="n">
        <x:f>MAX(D621-$B$5,0)</x:f>
        <x:v>217</x:v>
      </x:c>
      <x:c r="I621" t="n">
        <x:f>MAX($B$5-D621,0)</x:f>
        <x:v>0</x:v>
      </x:c>
    </x:row>
    <x:row r="622">
      <x:c r="A622" t="n">
        <x:f>610</x:f>
        <x:v>610</x:v>
      </x:c>
      <x:c r="B622" t="n">
        <x:f>RAND()</x:f>
        <x:v>0.8224829803581345</x:v>
      </x:c>
      <x:c r="C622" t="n">
        <x:f>MIN(47,INT(B622*47)+1)</x:f>
        <x:v>39</x:v>
      </x:c>
      <x:c r="D622" t="n">
        <x:f>INDEX(Datos_47_semanas!$B$4:$B$50,C622)</x:f>
        <x:v>228</x:v>
      </x:c>
      <x:c r="E622" t="n">
        <x:f>MIN($B$4,D622)*$B$7+MAX($B$4-D622,0)*$B$9-$B$4*$B$8</x:f>
        <x:v>170.3</x:v>
      </x:c>
      <x:c r="F622" t="n">
        <x:f>MIN($B$5,D622)*$B$7+MAX($B$5-D622,0)*$B$9-$B$5*$B$8</x:f>
        <x:v>142.8</x:v>
      </x:c>
      <x:c r="G622" t="n">
        <x:f>MIN($B$6,D622)*$B$7+MAX($B$6-D622,0)*$B$9-$B$6*$B$8</x:f>
        <x:v>87.80000000000001</x:v>
      </x:c>
      <x:c r="H622" t="n">
        <x:f>MAX(D622-$B$5,0)</x:f>
        <x:v>0</x:v>
      </x:c>
      <x:c r="I622" t="n">
        <x:f>MAX($B$5-D622,0)</x:f>
        <x:v>72</x:v>
      </x:c>
    </x:row>
    <x:row r="623">
      <x:c r="A623" t="n">
        <x:f>611</x:f>
        <x:v>611</x:v>
      </x:c>
      <x:c r="B623" t="n">
        <x:f>RAND()</x:f>
        <x:v>0.17862684218483726</x:v>
      </x:c>
      <x:c r="C623" t="n">
        <x:f>MIN(47,INT(B623*47)+1)</x:f>
        <x:v>9</x:v>
      </x:c>
      <x:c r="D623" t="n">
        <x:f>INDEX(Datos_47_semanas!$B$4:$B$50,C623)</x:f>
        <x:v>155</x:v>
      </x:c>
      <x:c r="E623" t="n">
        <x:f>MIN($B$4,D623)*$B$7+MAX($B$4-D623,0)*$B$9-$B$4*$B$8</x:f>
        <x:v>71.75</x:v>
      </x:c>
      <x:c r="F623" t="n">
        <x:f>MIN($B$5,D623)*$B$7+MAX($B$5-D623,0)*$B$9-$B$5*$B$8</x:f>
        <x:v>44.25</x:v>
      </x:c>
      <x:c r="G623" t="n">
        <x:f>MIN($B$6,D623)*$B$7+MAX($B$6-D623,0)*$B$9-$B$6*$B$8</x:f>
        <x:v>-10.75</x:v>
      </x:c>
      <x:c r="H623" t="n">
        <x:f>MAX(D623-$B$5,0)</x:f>
        <x:v>0</x:v>
      </x:c>
      <x:c r="I623" t="n">
        <x:f>MAX($B$5-D623,0)</x:f>
        <x:v>145</x:v>
      </x:c>
    </x:row>
    <x:row r="624">
      <x:c r="A624" t="n">
        <x:f>612</x:f>
        <x:v>612</x:v>
      </x:c>
      <x:c r="B624" t="n">
        <x:f>RAND()</x:f>
        <x:v>0.32717914290166483</x:v>
      </x:c>
      <x:c r="C624" t="n">
        <x:f>MIN(47,INT(B624*47)+1)</x:f>
        <x:v>16</x:v>
      </x:c>
      <x:c r="D624" t="n">
        <x:f>INDEX(Datos_47_semanas!$B$4:$B$50,C624)</x:f>
        <x:v>318</x:v>
      </x:c>
      <x:c r="E624" t="n">
        <x:f>MIN($B$4,D624)*$B$7+MAX($B$4-D624,0)*$B$9-$B$4*$B$8</x:f>
        <x:v>200</x:v>
      </x:c>
      <x:c r="F624" t="n">
        <x:f>MIN($B$5,D624)*$B$7+MAX($B$5-D624,0)*$B$9-$B$5*$B$8</x:f>
        <x:v>240</x:v>
      </x:c>
      <x:c r="G624" t="n">
        <x:f>MIN($B$6,D624)*$B$7+MAX($B$6-D624,0)*$B$9-$B$6*$B$8</x:f>
        <x:v>209.29999999999995</x:v>
      </x:c>
      <x:c r="H624" t="n">
        <x:f>MAX(D624-$B$5,0)</x:f>
        <x:v>18</x:v>
      </x:c>
      <x:c r="I624" t="n">
        <x:f>MAX($B$5-D624,0)</x:f>
        <x:v>0</x:v>
      </x:c>
    </x:row>
    <x:row r="625">
      <x:c r="A625" t="n">
        <x:f>613</x:f>
        <x:v>613</x:v>
      </x:c>
      <x:c r="B625" t="n">
        <x:f>RAND()</x:f>
        <x:v>0.9300781570628514</x:v>
      </x:c>
      <x:c r="C625" t="n">
        <x:f>MIN(47,INT(B625*47)+1)</x:f>
        <x:v>44</x:v>
      </x:c>
      <x:c r="D625" t="n">
        <x:f>INDEX(Datos_47_semanas!$B$4:$B$50,C625)</x:f>
        <x:v>223</x:v>
      </x:c>
      <x:c r="E625" t="n">
        <x:f>MIN($B$4,D625)*$B$7+MAX($B$4-D625,0)*$B$9-$B$4*$B$8</x:f>
        <x:v>163.55</x:v>
      </x:c>
      <x:c r="F625" t="n">
        <x:f>MIN($B$5,D625)*$B$7+MAX($B$5-D625,0)*$B$9-$B$5*$B$8</x:f>
        <x:v>136.05</x:v>
      </x:c>
      <x:c r="G625" t="n">
        <x:f>MIN($B$6,D625)*$B$7+MAX($B$6-D625,0)*$B$9-$B$6*$B$8</x:f>
        <x:v>81.05000000000001</x:v>
      </x:c>
      <x:c r="H625" t="n">
        <x:f>MAX(D625-$B$5,0)</x:f>
        <x:v>0</x:v>
      </x:c>
      <x:c r="I625" t="n">
        <x:f>MAX($B$5-D625,0)</x:f>
        <x:v>77</x:v>
      </x:c>
    </x:row>
    <x:row r="626">
      <x:c r="A626" t="n">
        <x:f>614</x:f>
        <x:v>614</x:v>
      </x:c>
      <x:c r="B626" t="n">
        <x:f>RAND()</x:f>
        <x:v>0.924672576531691</x:v>
      </x:c>
      <x:c r="C626" t="n">
        <x:f>MIN(47,INT(B626*47)+1)</x:f>
        <x:v>44</x:v>
      </x:c>
      <x:c r="D626" t="n">
        <x:f>INDEX(Datos_47_semanas!$B$4:$B$50,C626)</x:f>
        <x:v>223</x:v>
      </x:c>
      <x:c r="E626" t="n">
        <x:f>MIN($B$4,D626)*$B$7+MAX($B$4-D626,0)*$B$9-$B$4*$B$8</x:f>
        <x:v>163.55</x:v>
      </x:c>
      <x:c r="F626" t="n">
        <x:f>MIN($B$5,D626)*$B$7+MAX($B$5-D626,0)*$B$9-$B$5*$B$8</x:f>
        <x:v>136.05</x:v>
      </x:c>
      <x:c r="G626" t="n">
        <x:f>MIN($B$6,D626)*$B$7+MAX($B$6-D626,0)*$B$9-$B$6*$B$8</x:f>
        <x:v>81.05000000000001</x:v>
      </x:c>
      <x:c r="H626" t="n">
        <x:f>MAX(D626-$B$5,0)</x:f>
        <x:v>0</x:v>
      </x:c>
      <x:c r="I626" t="n">
        <x:f>MAX($B$5-D626,0)</x:f>
        <x:v>77</x:v>
      </x:c>
    </x:row>
    <x:row r="627">
      <x:c r="A627" t="n">
        <x:f>615</x:f>
        <x:v>615</x:v>
      </x:c>
      <x:c r="B627" t="n">
        <x:f>RAND()</x:f>
        <x:v>0.8006994046381528</x:v>
      </x:c>
      <x:c r="C627" t="n">
        <x:f>MIN(47,INT(B627*47)+1)</x:f>
        <x:v>38</x:v>
      </x:c>
      <x:c r="D627" t="n">
        <x:f>INDEX(Datos_47_semanas!$B$4:$B$50,C627)</x:f>
        <x:v>212</x:v>
      </x:c>
      <x:c r="E627" t="n">
        <x:f>MIN($B$4,D627)*$B$7+MAX($B$4-D627,0)*$B$9-$B$4*$B$8</x:f>
        <x:v>148.69999999999993</x:v>
      </x:c>
      <x:c r="F627" t="n">
        <x:f>MIN($B$5,D627)*$B$7+MAX($B$5-D627,0)*$B$9-$B$5*$B$8</x:f>
        <x:v>121.19999999999993</x:v>
      </x:c>
      <x:c r="G627" t="n">
        <x:f>MIN($B$6,D627)*$B$7+MAX($B$6-D627,0)*$B$9-$B$6*$B$8</x:f>
        <x:v>66.19999999999993</x:v>
      </x:c>
      <x:c r="H627" t="n">
        <x:f>MAX(D627-$B$5,0)</x:f>
        <x:v>0</x:v>
      </x:c>
      <x:c r="I627" t="n">
        <x:f>MAX($B$5-D627,0)</x:f>
        <x:v>88</x:v>
      </x:c>
    </x:row>
    <x:row r="628">
      <x:c r="A628" t="n">
        <x:f>616</x:f>
        <x:v>616</x:v>
      </x:c>
      <x:c r="B628" t="n">
        <x:f>RAND()</x:f>
        <x:v>0.8727884481674935</x:v>
      </x:c>
      <x:c r="C628" t="n">
        <x:f>MIN(47,INT(B628*47)+1)</x:f>
        <x:v>42</x:v>
      </x:c>
      <x:c r="D628" t="n">
        <x:f>INDEX(Datos_47_semanas!$B$4:$B$50,C628)</x:f>
        <x:v>146</x:v>
      </x:c>
      <x:c r="E628" t="n">
        <x:f>MIN($B$4,D628)*$B$7+MAX($B$4-D628,0)*$B$9-$B$4*$B$8</x:f>
        <x:v>59.599999999999966</x:v>
      </x:c>
      <x:c r="F628" t="n">
        <x:f>MIN($B$5,D628)*$B$7+MAX($B$5-D628,0)*$B$9-$B$5*$B$8</x:f>
        <x:v>32.099999999999966</x:v>
      </x:c>
      <x:c r="G628" t="n">
        <x:f>MIN($B$6,D628)*$B$7+MAX($B$6-D628,0)*$B$9-$B$6*$B$8</x:f>
        <x:v>-22.900000000000034</x:v>
      </x:c>
      <x:c r="H628" t="n">
        <x:f>MAX(D628-$B$5,0)</x:f>
        <x:v>0</x:v>
      </x:c>
      <x:c r="I628" t="n">
        <x:f>MAX($B$5-D628,0)</x:f>
        <x:v>154</x:v>
      </x:c>
    </x:row>
    <x:row r="629">
      <x:c r="A629" t="n">
        <x:f>617</x:f>
        <x:v>617</x:v>
      </x:c>
      <x:c r="B629" t="n">
        <x:f>RAND()</x:f>
        <x:v>0.4986549894150806</x:v>
      </x:c>
      <x:c r="C629" t="n">
        <x:f>MIN(47,INT(B629*47)+1)</x:f>
        <x:v>24</x:v>
      </x:c>
      <x:c r="D629" t="n">
        <x:f>INDEX(Datos_47_semanas!$B$4:$B$50,C629)</x:f>
        <x:v>186</x:v>
      </x:c>
      <x:c r="E629" t="n">
        <x:f>MIN($B$4,D629)*$B$7+MAX($B$4-D629,0)*$B$9-$B$4*$B$8</x:f>
        <x:v>113.59999999999997</x:v>
      </x:c>
      <x:c r="F629" t="n">
        <x:f>MIN($B$5,D629)*$B$7+MAX($B$5-D629,0)*$B$9-$B$5*$B$8</x:f>
        <x:v>86.09999999999997</x:v>
      </x:c>
      <x:c r="G629" t="n">
        <x:f>MIN($B$6,D629)*$B$7+MAX($B$6-D629,0)*$B$9-$B$6*$B$8</x:f>
        <x:v>31.099999999999966</x:v>
      </x:c>
      <x:c r="H629" t="n">
        <x:f>MAX(D629-$B$5,0)</x:f>
        <x:v>0</x:v>
      </x:c>
      <x:c r="I629" t="n">
        <x:f>MAX($B$5-D629,0)</x:f>
        <x:v>114</x:v>
      </x:c>
    </x:row>
    <x:row r="630">
      <x:c r="A630" t="n">
        <x:f>618</x:f>
        <x:v>618</x:v>
      </x:c>
      <x:c r="B630" t="n">
        <x:f>RAND()</x:f>
        <x:v>0.5450943023605491</x:v>
      </x:c>
      <x:c r="C630" t="n">
        <x:f>MIN(47,INT(B630*47)+1)</x:f>
        <x:v>26</x:v>
      </x:c>
      <x:c r="D630" t="n">
        <x:f>INDEX(Datos_47_semanas!$B$4:$B$50,C630)</x:f>
        <x:v>183</x:v>
      </x:c>
      <x:c r="E630" t="n">
        <x:f>MIN($B$4,D630)*$B$7+MAX($B$4-D630,0)*$B$9-$B$4*$B$8</x:f>
        <x:v>109.55000000000001</x:v>
      </x:c>
      <x:c r="F630" t="n">
        <x:f>MIN($B$5,D630)*$B$7+MAX($B$5-D630,0)*$B$9-$B$5*$B$8</x:f>
        <x:v>82.05000000000001</x:v>
      </x:c>
      <x:c r="G630" t="n">
        <x:f>MIN($B$6,D630)*$B$7+MAX($B$6-D630,0)*$B$9-$B$6*$B$8</x:f>
        <x:v>27.049999999999955</x:v>
      </x:c>
      <x:c r="H630" t="n">
        <x:f>MAX(D630-$B$5,0)</x:f>
        <x:v>0</x:v>
      </x:c>
      <x:c r="I630" t="n">
        <x:f>MAX($B$5-D630,0)</x:f>
        <x:v>117</x:v>
      </x:c>
    </x:row>
    <x:row r="631">
      <x:c r="A631" t="n">
        <x:f>619</x:f>
        <x:v>619</x:v>
      </x:c>
      <x:c r="B631" t="n">
        <x:f>RAND()</x:f>
        <x:v>0.7208746026484159</x:v>
      </x:c>
      <x:c r="C631" t="n">
        <x:f>MIN(47,INT(B631*47)+1)</x:f>
        <x:v>34</x:v>
      </x:c>
      <x:c r="D631" t="n">
        <x:f>INDEX(Datos_47_semanas!$B$4:$B$50,C631)</x:f>
        <x:v>281</x:v>
      </x:c>
      <x:c r="E631" t="n">
        <x:f>MIN($B$4,D631)*$B$7+MAX($B$4-D631,0)*$B$9-$B$4*$B$8</x:f>
        <x:v>200</x:v>
      </x:c>
      <x:c r="F631" t="n">
        <x:f>MIN($B$5,D631)*$B$7+MAX($B$5-D631,0)*$B$9-$B$5*$B$8</x:f>
        <x:v>214.34999999999997</x:v>
      </x:c>
      <x:c r="G631" t="n">
        <x:f>MIN($B$6,D631)*$B$7+MAX($B$6-D631,0)*$B$9-$B$6*$B$8</x:f>
        <x:v>159.34999999999997</x:v>
      </x:c>
      <x:c r="H631" t="n">
        <x:f>MAX(D631-$B$5,0)</x:f>
        <x:v>0</x:v>
      </x:c>
      <x:c r="I631" t="n">
        <x:f>MAX($B$5-D631,0)</x:f>
        <x:v>19</x:v>
      </x:c>
    </x:row>
    <x:row r="632">
      <x:c r="A632" t="n">
        <x:f>620</x:f>
        <x:v>620</x:v>
      </x:c>
      <x:c r="B632" t="n">
        <x:f>RAND()</x:f>
        <x:v>0.8121804057482866</x:v>
      </x:c>
      <x:c r="C632" t="n">
        <x:f>MIN(47,INT(B632*47)+1)</x:f>
        <x:v>39</x:v>
      </x:c>
      <x:c r="D632" t="n">
        <x:f>INDEX(Datos_47_semanas!$B$4:$B$50,C632)</x:f>
        <x:v>228</x:v>
      </x:c>
      <x:c r="E632" t="n">
        <x:f>MIN($B$4,D632)*$B$7+MAX($B$4-D632,0)*$B$9-$B$4*$B$8</x:f>
        <x:v>170.3</x:v>
      </x:c>
      <x:c r="F632" t="n">
        <x:f>MIN($B$5,D632)*$B$7+MAX($B$5-D632,0)*$B$9-$B$5*$B$8</x:f>
        <x:v>142.8</x:v>
      </x:c>
      <x:c r="G632" t="n">
        <x:f>MIN($B$6,D632)*$B$7+MAX($B$6-D632,0)*$B$9-$B$6*$B$8</x:f>
        <x:v>87.80000000000001</x:v>
      </x:c>
      <x:c r="H632" t="n">
        <x:f>MAX(D632-$B$5,0)</x:f>
        <x:v>0</x:v>
      </x:c>
      <x:c r="I632" t="n">
        <x:f>MAX($B$5-D632,0)</x:f>
        <x:v>72</x:v>
      </x:c>
    </x:row>
    <x:row r="633">
      <x:c r="A633" t="n">
        <x:f>621</x:f>
        <x:v>621</x:v>
      </x:c>
      <x:c r="B633" t="n">
        <x:f>RAND()</x:f>
        <x:v>0.5042042015321415</x:v>
      </x:c>
      <x:c r="C633" t="n">
        <x:f>MIN(47,INT(B633*47)+1)</x:f>
        <x:v>24</x:v>
      </x:c>
      <x:c r="D633" t="n">
        <x:f>INDEX(Datos_47_semanas!$B$4:$B$50,C633)</x:f>
        <x:v>186</x:v>
      </x:c>
      <x:c r="E633" t="n">
        <x:f>MIN($B$4,D633)*$B$7+MAX($B$4-D633,0)*$B$9-$B$4*$B$8</x:f>
        <x:v>113.59999999999997</x:v>
      </x:c>
      <x:c r="F633" t="n">
        <x:f>MIN($B$5,D633)*$B$7+MAX($B$5-D633,0)*$B$9-$B$5*$B$8</x:f>
        <x:v>86.09999999999997</x:v>
      </x:c>
      <x:c r="G633" t="n">
        <x:f>MIN($B$6,D633)*$B$7+MAX($B$6-D633,0)*$B$9-$B$6*$B$8</x:f>
        <x:v>31.099999999999966</x:v>
      </x:c>
      <x:c r="H633" t="n">
        <x:f>MAX(D633-$B$5,0)</x:f>
        <x:v>0</x:v>
      </x:c>
      <x:c r="I633" t="n">
        <x:f>MAX($B$5-D633,0)</x:f>
        <x:v>114</x:v>
      </x:c>
    </x:row>
    <x:row r="634">
      <x:c r="A634" t="n">
        <x:f>622</x:f>
        <x:v>622</x:v>
      </x:c>
      <x:c r="B634" t="n">
        <x:f>RAND()</x:f>
        <x:v>0.6234827288775601</x:v>
      </x:c>
      <x:c r="C634" t="n">
        <x:f>MIN(47,INT(B634*47)+1)</x:f>
        <x:v>30</x:v>
      </x:c>
      <x:c r="D634" t="n">
        <x:f>INDEX(Datos_47_semanas!$B$4:$B$50,C634)</x:f>
        <x:v>345</x:v>
      </x:c>
      <x:c r="E634" t="n">
        <x:f>MIN($B$4,D634)*$B$7+MAX($B$4-D634,0)*$B$9-$B$4*$B$8</x:f>
        <x:v>200</x:v>
      </x:c>
      <x:c r="F634" t="n">
        <x:f>MIN($B$5,D634)*$B$7+MAX($B$5-D634,0)*$B$9-$B$5*$B$8</x:f>
        <x:v>240</x:v>
      </x:c>
      <x:c r="G634" t="n">
        <x:f>MIN($B$6,D634)*$B$7+MAX($B$6-D634,0)*$B$9-$B$6*$B$8</x:f>
        <x:v>245.75</x:v>
      </x:c>
      <x:c r="H634" t="n">
        <x:f>MAX(D634-$B$5,0)</x:f>
        <x:v>45</x:v>
      </x:c>
      <x:c r="I634" t="n">
        <x:f>MAX($B$5-D634,0)</x:f>
        <x:v>0</x:v>
      </x:c>
    </x:row>
    <x:row r="635">
      <x:c r="A635" t="n">
        <x:f>623</x:f>
        <x:v>623</x:v>
      </x:c>
      <x:c r="B635" t="n">
        <x:f>RAND()</x:f>
        <x:v>0.710471627624792</x:v>
      </x:c>
      <x:c r="C635" t="n">
        <x:f>MIN(47,INT(B635*47)+1)</x:f>
        <x:v>34</x:v>
      </x:c>
      <x:c r="D635" t="n">
        <x:f>INDEX(Datos_47_semanas!$B$4:$B$50,C635)</x:f>
        <x:v>281</x:v>
      </x:c>
      <x:c r="E635" t="n">
        <x:f>MIN($B$4,D635)*$B$7+MAX($B$4-D635,0)*$B$9-$B$4*$B$8</x:f>
        <x:v>200</x:v>
      </x:c>
      <x:c r="F635" t="n">
        <x:f>MIN($B$5,D635)*$B$7+MAX($B$5-D635,0)*$B$9-$B$5*$B$8</x:f>
        <x:v>214.34999999999997</x:v>
      </x:c>
      <x:c r="G635" t="n">
        <x:f>MIN($B$6,D635)*$B$7+MAX($B$6-D635,0)*$B$9-$B$6*$B$8</x:f>
        <x:v>159.34999999999997</x:v>
      </x:c>
      <x:c r="H635" t="n">
        <x:f>MAX(D635-$B$5,0)</x:f>
        <x:v>0</x:v>
      </x:c>
      <x:c r="I635" t="n">
        <x:f>MAX($B$5-D635,0)</x:f>
        <x:v>19</x:v>
      </x:c>
    </x:row>
    <x:row r="636">
      <x:c r="A636" t="n">
        <x:f>624</x:f>
        <x:v>624</x:v>
      </x:c>
      <x:c r="B636" t="n">
        <x:f>RAND()</x:f>
        <x:v>0.3586313318840464</x:v>
      </x:c>
      <x:c r="C636" t="n">
        <x:f>MIN(47,INT(B636*47)+1)</x:f>
        <x:v>17</x:v>
      </x:c>
      <x:c r="D636" t="n">
        <x:f>INDEX(Datos_47_semanas!$B$4:$B$50,C636)</x:f>
        <x:v>154</x:v>
      </x:c>
      <x:c r="E636" t="n">
        <x:f>MIN($B$4,D636)*$B$7+MAX($B$4-D636,0)*$B$9-$B$4*$B$8</x:f>
        <x:v>70.39999999999998</x:v>
      </x:c>
      <x:c r="F636" t="n">
        <x:f>MIN($B$5,D636)*$B$7+MAX($B$5-D636,0)*$B$9-$B$5*$B$8</x:f>
        <x:v>42.89999999999998</x:v>
      </x:c>
      <x:c r="G636" t="n">
        <x:f>MIN($B$6,D636)*$B$7+MAX($B$6-D636,0)*$B$9-$B$6*$B$8</x:f>
        <x:v>-12.100000000000023</x:v>
      </x:c>
      <x:c r="H636" t="n">
        <x:f>MAX(D636-$B$5,0)</x:f>
        <x:v>0</x:v>
      </x:c>
      <x:c r="I636" t="n">
        <x:f>MAX($B$5-D636,0)</x:f>
        <x:v>146</x:v>
      </x:c>
    </x:row>
    <x:row r="637">
      <x:c r="A637" t="n">
        <x:f>625</x:f>
        <x:v>625</x:v>
      </x:c>
      <x:c r="B637" t="n">
        <x:f>RAND()</x:f>
        <x:v>0.6374287989528754</x:v>
      </x:c>
      <x:c r="C637" t="n">
        <x:f>MIN(47,INT(B637*47)+1)</x:f>
        <x:v>30</x:v>
      </x:c>
      <x:c r="D637" t="n">
        <x:f>INDEX(Datos_47_semanas!$B$4:$B$50,C637)</x:f>
        <x:v>345</x:v>
      </x:c>
      <x:c r="E637" t="n">
        <x:f>MIN($B$4,D637)*$B$7+MAX($B$4-D637,0)*$B$9-$B$4*$B$8</x:f>
        <x:v>200</x:v>
      </x:c>
      <x:c r="F637" t="n">
        <x:f>MIN($B$5,D637)*$B$7+MAX($B$5-D637,0)*$B$9-$B$5*$B$8</x:f>
        <x:v>240</x:v>
      </x:c>
      <x:c r="G637" t="n">
        <x:f>MIN($B$6,D637)*$B$7+MAX($B$6-D637,0)*$B$9-$B$6*$B$8</x:f>
        <x:v>245.75</x:v>
      </x:c>
      <x:c r="H637" t="n">
        <x:f>MAX(D637-$B$5,0)</x:f>
        <x:v>45</x:v>
      </x:c>
      <x:c r="I637" t="n">
        <x:f>MAX($B$5-D637,0)</x:f>
        <x:v>0</x:v>
      </x:c>
    </x:row>
    <x:row r="638">
      <x:c r="A638" t="n">
        <x:f>626</x:f>
        <x:v>626</x:v>
      </x:c>
      <x:c r="B638" t="n">
        <x:f>RAND()</x:f>
        <x:v>0.17870975345391793</x:v>
      </x:c>
      <x:c r="C638" t="n">
        <x:f>MIN(47,INT(B638*47)+1)</x:f>
        <x:v>9</x:v>
      </x:c>
      <x:c r="D638" t="n">
        <x:f>INDEX(Datos_47_semanas!$B$4:$B$50,C638)</x:f>
        <x:v>155</x:v>
      </x:c>
      <x:c r="E638" t="n">
        <x:f>MIN($B$4,D638)*$B$7+MAX($B$4-D638,0)*$B$9-$B$4*$B$8</x:f>
        <x:v>71.75</x:v>
      </x:c>
      <x:c r="F638" t="n">
        <x:f>MIN($B$5,D638)*$B$7+MAX($B$5-D638,0)*$B$9-$B$5*$B$8</x:f>
        <x:v>44.25</x:v>
      </x:c>
      <x:c r="G638" t="n">
        <x:f>MIN($B$6,D638)*$B$7+MAX($B$6-D638,0)*$B$9-$B$6*$B$8</x:f>
        <x:v>-10.75</x:v>
      </x:c>
      <x:c r="H638" t="n">
        <x:f>MAX(D638-$B$5,0)</x:f>
        <x:v>0</x:v>
      </x:c>
      <x:c r="I638" t="n">
        <x:f>MAX($B$5-D638,0)</x:f>
        <x:v>145</x:v>
      </x:c>
    </x:row>
    <x:row r="639">
      <x:c r="A639" t="n">
        <x:f>627</x:f>
        <x:v>627</x:v>
      </x:c>
      <x:c r="B639" t="n">
        <x:f>RAND()</x:f>
        <x:v>0.09105613847525607</x:v>
      </x:c>
      <x:c r="C639" t="n">
        <x:f>MIN(47,INT(B639*47)+1)</x:f>
        <x:v>5</x:v>
      </x:c>
      <x:c r="D639" t="n">
        <x:f>INDEX(Datos_47_semanas!$B$4:$B$50,C639)</x:f>
        <x:v>347</x:v>
      </x:c>
      <x:c r="E639" t="n">
        <x:f>MIN($B$4,D639)*$B$7+MAX($B$4-D639,0)*$B$9-$B$4*$B$8</x:f>
        <x:v>200</x:v>
      </x:c>
      <x:c r="F639" t="n">
        <x:f>MIN($B$5,D639)*$B$7+MAX($B$5-D639,0)*$B$9-$B$5*$B$8</x:f>
        <x:v>240</x:v>
      </x:c>
      <x:c r="G639" t="n">
        <x:f>MIN($B$6,D639)*$B$7+MAX($B$6-D639,0)*$B$9-$B$6*$B$8</x:f>
        <x:v>248.44999999999993</x:v>
      </x:c>
      <x:c r="H639" t="n">
        <x:f>MAX(D639-$B$5,0)</x:f>
        <x:v>47</x:v>
      </x:c>
      <x:c r="I639" t="n">
        <x:f>MAX($B$5-D639,0)</x:f>
        <x:v>0</x:v>
      </x:c>
    </x:row>
    <x:row r="640">
      <x:c r="A640" t="n">
        <x:f>628</x:f>
        <x:v>628</x:v>
      </x:c>
      <x:c r="B640" t="n">
        <x:f>RAND()</x:f>
        <x:v>0.6424836195875019</x:v>
      </x:c>
      <x:c r="C640" t="n">
        <x:f>MIN(47,INT(B640*47)+1)</x:f>
        <x:v>31</x:v>
      </x:c>
      <x:c r="D640" t="n">
        <x:f>INDEX(Datos_47_semanas!$B$4:$B$50,C640)</x:f>
        <x:v>583</x:v>
      </x:c>
      <x:c r="E640" t="n">
        <x:f>MIN($B$4,D640)*$B$7+MAX($B$4-D640,0)*$B$9-$B$4*$B$8</x:f>
        <x:v>200</x:v>
      </x:c>
      <x:c r="F640" t="n">
        <x:f>MIN($B$5,D640)*$B$7+MAX($B$5-D640,0)*$B$9-$B$5*$B$8</x:f>
        <x:v>240</x:v>
      </x:c>
      <x:c r="G640" t="n">
        <x:f>MIN($B$6,D640)*$B$7+MAX($B$6-D640,0)*$B$9-$B$6*$B$8</x:f>
        <x:v>320</x:v>
      </x:c>
      <x:c r="H640" t="n">
        <x:f>MAX(D640-$B$5,0)</x:f>
        <x:v>283</x:v>
      </x:c>
      <x:c r="I640" t="n">
        <x:f>MAX($B$5-D640,0)</x:f>
        <x:v>0</x:v>
      </x:c>
    </x:row>
    <x:row r="641">
      <x:c r="A641" t="n">
        <x:f>629</x:f>
        <x:v>629</x:v>
      </x:c>
      <x:c r="B641" t="n">
        <x:f>RAND()</x:f>
        <x:v>0.3502247638230319</x:v>
      </x:c>
      <x:c r="C641" t="n">
        <x:f>MIN(47,INT(B641*47)+1)</x:f>
        <x:v>17</x:v>
      </x:c>
      <x:c r="D641" t="n">
        <x:f>INDEX(Datos_47_semanas!$B$4:$B$50,C641)</x:f>
        <x:v>154</x:v>
      </x:c>
      <x:c r="E641" t="n">
        <x:f>MIN($B$4,D641)*$B$7+MAX($B$4-D641,0)*$B$9-$B$4*$B$8</x:f>
        <x:v>70.39999999999998</x:v>
      </x:c>
      <x:c r="F641" t="n">
        <x:f>MIN($B$5,D641)*$B$7+MAX($B$5-D641,0)*$B$9-$B$5*$B$8</x:f>
        <x:v>42.89999999999998</x:v>
      </x:c>
      <x:c r="G641" t="n">
        <x:f>MIN($B$6,D641)*$B$7+MAX($B$6-D641,0)*$B$9-$B$6*$B$8</x:f>
        <x:v>-12.100000000000023</x:v>
      </x:c>
      <x:c r="H641" t="n">
        <x:f>MAX(D641-$B$5,0)</x:f>
        <x:v>0</x:v>
      </x:c>
      <x:c r="I641" t="n">
        <x:f>MAX($B$5-D641,0)</x:f>
        <x:v>146</x:v>
      </x:c>
    </x:row>
    <x:row r="642">
      <x:c r="A642" t="n">
        <x:f>630</x:f>
        <x:v>630</x:v>
      </x:c>
      <x:c r="B642" t="n">
        <x:f>RAND()</x:f>
        <x:v>0.7191648049658734</x:v>
      </x:c>
      <x:c r="C642" t="n">
        <x:f>MIN(47,INT(B642*47)+1)</x:f>
        <x:v>34</x:v>
      </x:c>
      <x:c r="D642" t="n">
        <x:f>INDEX(Datos_47_semanas!$B$4:$B$50,C642)</x:f>
        <x:v>281</x:v>
      </x:c>
      <x:c r="E642" t="n">
        <x:f>MIN($B$4,D642)*$B$7+MAX($B$4-D642,0)*$B$9-$B$4*$B$8</x:f>
        <x:v>200</x:v>
      </x:c>
      <x:c r="F642" t="n">
        <x:f>MIN($B$5,D642)*$B$7+MAX($B$5-D642,0)*$B$9-$B$5*$B$8</x:f>
        <x:v>214.34999999999997</x:v>
      </x:c>
      <x:c r="G642" t="n">
        <x:f>MIN($B$6,D642)*$B$7+MAX($B$6-D642,0)*$B$9-$B$6*$B$8</x:f>
        <x:v>159.34999999999997</x:v>
      </x:c>
      <x:c r="H642" t="n">
        <x:f>MAX(D642-$B$5,0)</x:f>
        <x:v>0</x:v>
      </x:c>
      <x:c r="I642" t="n">
        <x:f>MAX($B$5-D642,0)</x:f>
        <x:v>19</x:v>
      </x:c>
    </x:row>
    <x:row r="643">
      <x:c r="A643" t="n">
        <x:f>631</x:f>
        <x:v>631</x:v>
      </x:c>
      <x:c r="B643" t="n">
        <x:f>RAND()</x:f>
        <x:v>0.1282416535678147</x:v>
      </x:c>
      <x:c r="C643" t="n">
        <x:f>MIN(47,INT(B643*47)+1)</x:f>
        <x:v>7</x:v>
      </x:c>
      <x:c r="D643" t="n">
        <x:f>INDEX(Datos_47_semanas!$B$4:$B$50,C643)</x:f>
        <x:v>249</x:v>
      </x:c>
      <x:c r="E643" t="n">
        <x:f>MIN($B$4,D643)*$B$7+MAX($B$4-D643,0)*$B$9-$B$4*$B$8</x:f>
        <x:v>198.64999999999998</x:v>
      </x:c>
      <x:c r="F643" t="n">
        <x:f>MIN($B$5,D643)*$B$7+MAX($B$5-D643,0)*$B$9-$B$5*$B$8</x:f>
        <x:v>171.14999999999998</x:v>
      </x:c>
      <x:c r="G643" t="n">
        <x:f>MIN($B$6,D643)*$B$7+MAX($B$6-D643,0)*$B$9-$B$6*$B$8</x:f>
        <x:v>116.14999999999998</x:v>
      </x:c>
      <x:c r="H643" t="n">
        <x:f>MAX(D643-$B$5,0)</x:f>
        <x:v>0</x:v>
      </x:c>
      <x:c r="I643" t="n">
        <x:f>MAX($B$5-D643,0)</x:f>
        <x:v>51</x:v>
      </x:c>
    </x:row>
    <x:row r="644">
      <x:c r="A644" t="n">
        <x:f>632</x:f>
        <x:v>632</x:v>
      </x:c>
      <x:c r="B644" t="n">
        <x:f>RAND()</x:f>
        <x:v>0.7998146339160386</x:v>
      </x:c>
      <x:c r="C644" t="n">
        <x:f>MIN(47,INT(B644*47)+1)</x:f>
        <x:v>38</x:v>
      </x:c>
      <x:c r="D644" t="n">
        <x:f>INDEX(Datos_47_semanas!$B$4:$B$50,C644)</x:f>
        <x:v>212</x:v>
      </x:c>
      <x:c r="E644" t="n">
        <x:f>MIN($B$4,D644)*$B$7+MAX($B$4-D644,0)*$B$9-$B$4*$B$8</x:f>
        <x:v>148.69999999999993</x:v>
      </x:c>
      <x:c r="F644" t="n">
        <x:f>MIN($B$5,D644)*$B$7+MAX($B$5-D644,0)*$B$9-$B$5*$B$8</x:f>
        <x:v>121.19999999999993</x:v>
      </x:c>
      <x:c r="G644" t="n">
        <x:f>MIN($B$6,D644)*$B$7+MAX($B$6-D644,0)*$B$9-$B$6*$B$8</x:f>
        <x:v>66.19999999999993</x:v>
      </x:c>
      <x:c r="H644" t="n">
        <x:f>MAX(D644-$B$5,0)</x:f>
        <x:v>0</x:v>
      </x:c>
      <x:c r="I644" t="n">
        <x:f>MAX($B$5-D644,0)</x:f>
        <x:v>88</x:v>
      </x:c>
    </x:row>
    <x:row r="645">
      <x:c r="A645" t="n">
        <x:f>633</x:f>
        <x:v>633</x:v>
      </x:c>
      <x:c r="B645" t="n">
        <x:f>RAND()</x:f>
        <x:v>0.6415207321265041</x:v>
      </x:c>
      <x:c r="C645" t="n">
        <x:f>MIN(47,INT(B645*47)+1)</x:f>
        <x:v>31</x:v>
      </x:c>
      <x:c r="D645" t="n">
        <x:f>INDEX(Datos_47_semanas!$B$4:$B$50,C645)</x:f>
        <x:v>583</x:v>
      </x:c>
      <x:c r="E645" t="n">
        <x:f>MIN($B$4,D645)*$B$7+MAX($B$4-D645,0)*$B$9-$B$4*$B$8</x:f>
        <x:v>200</x:v>
      </x:c>
      <x:c r="F645" t="n">
        <x:f>MIN($B$5,D645)*$B$7+MAX($B$5-D645,0)*$B$9-$B$5*$B$8</x:f>
        <x:v>240</x:v>
      </x:c>
      <x:c r="G645" t="n">
        <x:f>MIN($B$6,D645)*$B$7+MAX($B$6-D645,0)*$B$9-$B$6*$B$8</x:f>
        <x:v>320</x:v>
      </x:c>
      <x:c r="H645" t="n">
        <x:f>MAX(D645-$B$5,0)</x:f>
        <x:v>283</x:v>
      </x:c>
      <x:c r="I645" t="n">
        <x:f>MAX($B$5-D645,0)</x:f>
        <x:v>0</x:v>
      </x:c>
    </x:row>
    <x:row r="646">
      <x:c r="A646" t="n">
        <x:f>634</x:f>
        <x:v>634</x:v>
      </x:c>
      <x:c r="B646" t="n">
        <x:f>RAND()</x:f>
        <x:v>0.3854494810787644</x:v>
      </x:c>
      <x:c r="C646" t="n">
        <x:f>MIN(47,INT(B646*47)+1)</x:f>
        <x:v>19</x:v>
      </x:c>
      <x:c r="D646" t="n">
        <x:f>INDEX(Datos_47_semanas!$B$4:$B$50,C646)</x:f>
        <x:v>470</x:v>
      </x:c>
      <x:c r="E646" t="n">
        <x:f>MIN($B$4,D646)*$B$7+MAX($B$4-D646,0)*$B$9-$B$4*$B$8</x:f>
        <x:v>200</x:v>
      </x:c>
      <x:c r="F646" t="n">
        <x:f>MIN($B$5,D646)*$B$7+MAX($B$5-D646,0)*$B$9-$B$5*$B$8</x:f>
        <x:v>240</x:v>
      </x:c>
      <x:c r="G646" t="n">
        <x:f>MIN($B$6,D646)*$B$7+MAX($B$6-D646,0)*$B$9-$B$6*$B$8</x:f>
        <x:v>320</x:v>
      </x:c>
      <x:c r="H646" t="n">
        <x:f>MAX(D646-$B$5,0)</x:f>
        <x:v>170</x:v>
      </x:c>
      <x:c r="I646" t="n">
        <x:f>MAX($B$5-D646,0)</x:f>
        <x:v>0</x:v>
      </x:c>
    </x:row>
    <x:row r="647">
      <x:c r="A647" t="n">
        <x:f>635</x:f>
        <x:v>635</x:v>
      </x:c>
      <x:c r="B647" t="n">
        <x:f>RAND()</x:f>
        <x:v>0.7431078659736421</x:v>
      </x:c>
      <x:c r="C647" t="n">
        <x:f>MIN(47,INT(B647*47)+1)</x:f>
        <x:v>35</x:v>
      </x:c>
      <x:c r="D647" t="n">
        <x:f>INDEX(Datos_47_semanas!$B$4:$B$50,C647)</x:f>
        <x:v>192</x:v>
      </x:c>
      <x:c r="E647" t="n">
        <x:f>MIN($B$4,D647)*$B$7+MAX($B$4-D647,0)*$B$9-$B$4*$B$8</x:f>
        <x:v>121.69999999999993</x:v>
      </x:c>
      <x:c r="F647" t="n">
        <x:f>MIN($B$5,D647)*$B$7+MAX($B$5-D647,0)*$B$9-$B$5*$B$8</x:f>
        <x:v>94.19999999999993</x:v>
      </x:c>
      <x:c r="G647" t="n">
        <x:f>MIN($B$6,D647)*$B$7+MAX($B$6-D647,0)*$B$9-$B$6*$B$8</x:f>
        <x:v>39.19999999999993</x:v>
      </x:c>
      <x:c r="H647" t="n">
        <x:f>MAX(D647-$B$5,0)</x:f>
        <x:v>0</x:v>
      </x:c>
      <x:c r="I647" t="n">
        <x:f>MAX($B$5-D647,0)</x:f>
        <x:v>108</x:v>
      </x:c>
    </x:row>
    <x:row r="648">
      <x:c r="A648" t="n">
        <x:f>636</x:f>
        <x:v>636</x:v>
      </x:c>
      <x:c r="B648" t="n">
        <x:f>RAND()</x:f>
        <x:v>0.4921401962492109</x:v>
      </x:c>
      <x:c r="C648" t="n">
        <x:f>MIN(47,INT(B648*47)+1)</x:f>
        <x:v>24</x:v>
      </x:c>
      <x:c r="D648" t="n">
        <x:f>INDEX(Datos_47_semanas!$B$4:$B$50,C648)</x:f>
        <x:v>186</x:v>
      </x:c>
      <x:c r="E648" t="n">
        <x:f>MIN($B$4,D648)*$B$7+MAX($B$4-D648,0)*$B$9-$B$4*$B$8</x:f>
        <x:v>113.59999999999997</x:v>
      </x:c>
      <x:c r="F648" t="n">
        <x:f>MIN($B$5,D648)*$B$7+MAX($B$5-D648,0)*$B$9-$B$5*$B$8</x:f>
        <x:v>86.09999999999997</x:v>
      </x:c>
      <x:c r="G648" t="n">
        <x:f>MIN($B$6,D648)*$B$7+MAX($B$6-D648,0)*$B$9-$B$6*$B$8</x:f>
        <x:v>31.099999999999966</x:v>
      </x:c>
      <x:c r="H648" t="n">
        <x:f>MAX(D648-$B$5,0)</x:f>
        <x:v>0</x:v>
      </x:c>
      <x:c r="I648" t="n">
        <x:f>MAX($B$5-D648,0)</x:f>
        <x:v>114</x:v>
      </x:c>
    </x:row>
    <x:row r="649">
      <x:c r="A649" t="n">
        <x:f>637</x:f>
        <x:v>637</x:v>
      </x:c>
      <x:c r="B649" t="n">
        <x:f>RAND()</x:f>
        <x:v>0.41037741980318854</x:v>
      </x:c>
      <x:c r="C649" t="n">
        <x:f>MIN(47,INT(B649*47)+1)</x:f>
        <x:v>20</x:v>
      </x:c>
      <x:c r="D649" t="n">
        <x:f>INDEX(Datos_47_semanas!$B$4:$B$50,C649)</x:f>
        <x:v>335</x:v>
      </x:c>
      <x:c r="E649" t="n">
        <x:f>MIN($B$4,D649)*$B$7+MAX($B$4-D649,0)*$B$9-$B$4*$B$8</x:f>
        <x:v>200</x:v>
      </x:c>
      <x:c r="F649" t="n">
        <x:f>MIN($B$5,D649)*$B$7+MAX($B$5-D649,0)*$B$9-$B$5*$B$8</x:f>
        <x:v>240</x:v>
      </x:c>
      <x:c r="G649" t="n">
        <x:f>MIN($B$6,D649)*$B$7+MAX($B$6-D649,0)*$B$9-$B$6*$B$8</x:f>
        <x:v>232.25</x:v>
      </x:c>
      <x:c r="H649" t="n">
        <x:f>MAX(D649-$B$5,0)</x:f>
        <x:v>35</x:v>
      </x:c>
      <x:c r="I649" t="n">
        <x:f>MAX($B$5-D649,0)</x:f>
        <x:v>0</x:v>
      </x:c>
    </x:row>
    <x:row r="650">
      <x:c r="A650" t="n">
        <x:f>638</x:f>
        <x:v>638</x:v>
      </x:c>
      <x:c r="B650" t="n">
        <x:f>RAND()</x:f>
        <x:v>0.11317915509062282</x:v>
      </x:c>
      <x:c r="C650" t="n">
        <x:f>MIN(47,INT(B650*47)+1)</x:f>
        <x:v>6</x:v>
      </x:c>
      <x:c r="D650" t="n">
        <x:f>INDEX(Datos_47_semanas!$B$4:$B$50,C650)</x:f>
        <x:v>155</x:v>
      </x:c>
      <x:c r="E650" t="n">
        <x:f>MIN($B$4,D650)*$B$7+MAX($B$4-D650,0)*$B$9-$B$4*$B$8</x:f>
        <x:v>71.75</x:v>
      </x:c>
      <x:c r="F650" t="n">
        <x:f>MIN($B$5,D650)*$B$7+MAX($B$5-D650,0)*$B$9-$B$5*$B$8</x:f>
        <x:v>44.25</x:v>
      </x:c>
      <x:c r="G650" t="n">
        <x:f>MIN($B$6,D650)*$B$7+MAX($B$6-D650,0)*$B$9-$B$6*$B$8</x:f>
        <x:v>-10.75</x:v>
      </x:c>
      <x:c r="H650" t="n">
        <x:f>MAX(D650-$B$5,0)</x:f>
        <x:v>0</x:v>
      </x:c>
      <x:c r="I650" t="n">
        <x:f>MAX($B$5-D650,0)</x:f>
        <x:v>145</x:v>
      </x:c>
    </x:row>
    <x:row r="651">
      <x:c r="A651" t="n">
        <x:f>639</x:f>
        <x:v>639</x:v>
      </x:c>
      <x:c r="B651" t="n">
        <x:f>RAND()</x:f>
        <x:v>0.62750318050549</x:v>
      </x:c>
      <x:c r="C651" t="n">
        <x:f>MIN(47,INT(B651*47)+1)</x:f>
        <x:v>30</x:v>
      </x:c>
      <x:c r="D651" t="n">
        <x:f>INDEX(Datos_47_semanas!$B$4:$B$50,C651)</x:f>
        <x:v>345</x:v>
      </x:c>
      <x:c r="E651" t="n">
        <x:f>MIN($B$4,D651)*$B$7+MAX($B$4-D651,0)*$B$9-$B$4*$B$8</x:f>
        <x:v>200</x:v>
      </x:c>
      <x:c r="F651" t="n">
        <x:f>MIN($B$5,D651)*$B$7+MAX($B$5-D651,0)*$B$9-$B$5*$B$8</x:f>
        <x:v>240</x:v>
      </x:c>
      <x:c r="G651" t="n">
        <x:f>MIN($B$6,D651)*$B$7+MAX($B$6-D651,0)*$B$9-$B$6*$B$8</x:f>
        <x:v>245.75</x:v>
      </x:c>
      <x:c r="H651" t="n">
        <x:f>MAX(D651-$B$5,0)</x:f>
        <x:v>45</x:v>
      </x:c>
      <x:c r="I651" t="n">
        <x:f>MAX($B$5-D651,0)</x:f>
        <x:v>0</x:v>
      </x:c>
    </x:row>
    <x:row r="652">
      <x:c r="A652" t="n">
        <x:f>640</x:f>
        <x:v>640</x:v>
      </x:c>
      <x:c r="B652" t="n">
        <x:f>RAND()</x:f>
        <x:v>0.956956831901928</x:v>
      </x:c>
      <x:c r="C652" t="n">
        <x:f>MIN(47,INT(B652*47)+1)</x:f>
        <x:v>45</x:v>
      </x:c>
      <x:c r="D652" t="n">
        <x:f>INDEX(Datos_47_semanas!$B$4:$B$50,C652)</x:f>
        <x:v>526</x:v>
      </x:c>
      <x:c r="E652" t="n">
        <x:f>MIN($B$4,D652)*$B$7+MAX($B$4-D652,0)*$B$9-$B$4*$B$8</x:f>
        <x:v>200</x:v>
      </x:c>
      <x:c r="F652" t="n">
        <x:f>MIN($B$5,D652)*$B$7+MAX($B$5-D652,0)*$B$9-$B$5*$B$8</x:f>
        <x:v>240</x:v>
      </x:c>
      <x:c r="G652" t="n">
        <x:f>MIN($B$6,D652)*$B$7+MAX($B$6-D652,0)*$B$9-$B$6*$B$8</x:f>
        <x:v>320</x:v>
      </x:c>
      <x:c r="H652" t="n">
        <x:f>MAX(D652-$B$5,0)</x:f>
        <x:v>226</x:v>
      </x:c>
      <x:c r="I652" t="n">
        <x:f>MAX($B$5-D652,0)</x:f>
        <x:v>0</x:v>
      </x:c>
    </x:row>
    <x:row r="653">
      <x:c r="A653" t="n">
        <x:f>641</x:f>
        <x:v>641</x:v>
      </x:c>
      <x:c r="B653" t="n">
        <x:f>RAND()</x:f>
        <x:v>0.5347251224276359</x:v>
      </x:c>
      <x:c r="C653" t="n">
        <x:f>MIN(47,INT(B653*47)+1)</x:f>
        <x:v>26</x:v>
      </x:c>
      <x:c r="D653" t="n">
        <x:f>INDEX(Datos_47_semanas!$B$4:$B$50,C653)</x:f>
        <x:v>183</x:v>
      </x:c>
      <x:c r="E653" t="n">
        <x:f>MIN($B$4,D653)*$B$7+MAX($B$4-D653,0)*$B$9-$B$4*$B$8</x:f>
        <x:v>109.55000000000001</x:v>
      </x:c>
      <x:c r="F653" t="n">
        <x:f>MIN($B$5,D653)*$B$7+MAX($B$5-D653,0)*$B$9-$B$5*$B$8</x:f>
        <x:v>82.05000000000001</x:v>
      </x:c>
      <x:c r="G653" t="n">
        <x:f>MIN($B$6,D653)*$B$7+MAX($B$6-D653,0)*$B$9-$B$6*$B$8</x:f>
        <x:v>27.049999999999955</x:v>
      </x:c>
      <x:c r="H653" t="n">
        <x:f>MAX(D653-$B$5,0)</x:f>
        <x:v>0</x:v>
      </x:c>
      <x:c r="I653" t="n">
        <x:f>MAX($B$5-D653,0)</x:f>
        <x:v>117</x:v>
      </x:c>
    </x:row>
    <x:row r="654">
      <x:c r="A654" t="n">
        <x:f>642</x:f>
        <x:v>642</x:v>
      </x:c>
      <x:c r="B654" t="n">
        <x:f>RAND()</x:f>
        <x:v>0.3754537233026711</x:v>
      </x:c>
      <x:c r="C654" t="n">
        <x:f>MIN(47,INT(B654*47)+1)</x:f>
        <x:v>18</x:v>
      </x:c>
      <x:c r="D654" t="n">
        <x:f>INDEX(Datos_47_semanas!$B$4:$B$50,C654)</x:f>
        <x:v>219</x:v>
      </x:c>
      <x:c r="E654" t="n">
        <x:f>MIN($B$4,D654)*$B$7+MAX($B$4-D654,0)*$B$9-$B$4*$B$8</x:f>
        <x:v>158.14999999999998</x:v>
      </x:c>
      <x:c r="F654" t="n">
        <x:f>MIN($B$5,D654)*$B$7+MAX($B$5-D654,0)*$B$9-$B$5*$B$8</x:f>
        <x:v>130.64999999999998</x:v>
      </x:c>
      <x:c r="G654" t="n">
        <x:f>MIN($B$6,D654)*$B$7+MAX($B$6-D654,0)*$B$9-$B$6*$B$8</x:f>
        <x:v>75.64999999999998</x:v>
      </x:c>
      <x:c r="H654" t="n">
        <x:f>MAX(D654-$B$5,0)</x:f>
        <x:v>0</x:v>
      </x:c>
      <x:c r="I654" t="n">
        <x:f>MAX($B$5-D654,0)</x:f>
        <x:v>81</x:v>
      </x:c>
    </x:row>
    <x:row r="655">
      <x:c r="A655" t="n">
        <x:f>643</x:f>
        <x:v>643</x:v>
      </x:c>
      <x:c r="B655" t="n">
        <x:f>RAND()</x:f>
        <x:v>0.18512023430930924</x:v>
      </x:c>
      <x:c r="C655" t="n">
        <x:f>MIN(47,INT(B655*47)+1)</x:f>
        <x:v>9</x:v>
      </x:c>
      <x:c r="D655" t="n">
        <x:f>INDEX(Datos_47_semanas!$B$4:$B$50,C655)</x:f>
        <x:v>155</x:v>
      </x:c>
      <x:c r="E655" t="n">
        <x:f>MIN($B$4,D655)*$B$7+MAX($B$4-D655,0)*$B$9-$B$4*$B$8</x:f>
        <x:v>71.75</x:v>
      </x:c>
      <x:c r="F655" t="n">
        <x:f>MIN($B$5,D655)*$B$7+MAX($B$5-D655,0)*$B$9-$B$5*$B$8</x:f>
        <x:v>44.25</x:v>
      </x:c>
      <x:c r="G655" t="n">
        <x:f>MIN($B$6,D655)*$B$7+MAX($B$6-D655,0)*$B$9-$B$6*$B$8</x:f>
        <x:v>-10.75</x:v>
      </x:c>
      <x:c r="H655" t="n">
        <x:f>MAX(D655-$B$5,0)</x:f>
        <x:v>0</x:v>
      </x:c>
      <x:c r="I655" t="n">
        <x:f>MAX($B$5-D655,0)</x:f>
        <x:v>145</x:v>
      </x:c>
    </x:row>
    <x:row r="656">
      <x:c r="A656" t="n">
        <x:f>644</x:f>
        <x:v>644</x:v>
      </x:c>
      <x:c r="B656" t="n">
        <x:f>RAND()</x:f>
        <x:v>0.8282407201592142</x:v>
      </x:c>
      <x:c r="C656" t="n">
        <x:f>MIN(47,INT(B656*47)+1)</x:f>
        <x:v>39</x:v>
      </x:c>
      <x:c r="D656" t="n">
        <x:f>INDEX(Datos_47_semanas!$B$4:$B$50,C656)</x:f>
        <x:v>228</x:v>
      </x:c>
      <x:c r="E656" t="n">
        <x:f>MIN($B$4,D656)*$B$7+MAX($B$4-D656,0)*$B$9-$B$4*$B$8</x:f>
        <x:v>170.3</x:v>
      </x:c>
      <x:c r="F656" t="n">
        <x:f>MIN($B$5,D656)*$B$7+MAX($B$5-D656,0)*$B$9-$B$5*$B$8</x:f>
        <x:v>142.8</x:v>
      </x:c>
      <x:c r="G656" t="n">
        <x:f>MIN($B$6,D656)*$B$7+MAX($B$6-D656,0)*$B$9-$B$6*$B$8</x:f>
        <x:v>87.80000000000001</x:v>
      </x:c>
      <x:c r="H656" t="n">
        <x:f>MAX(D656-$B$5,0)</x:f>
        <x:v>0</x:v>
      </x:c>
      <x:c r="I656" t="n">
        <x:f>MAX($B$5-D656,0)</x:f>
        <x:v>72</x:v>
      </x:c>
    </x:row>
    <x:row r="657">
      <x:c r="A657" t="n">
        <x:f>645</x:f>
        <x:v>645</x:v>
      </x:c>
      <x:c r="B657" t="n">
        <x:f>RAND()</x:f>
        <x:v>0.9144620338149589</x:v>
      </x:c>
      <x:c r="C657" t="n">
        <x:f>MIN(47,INT(B657*47)+1)</x:f>
        <x:v>43</x:v>
      </x:c>
      <x:c r="D657" t="n">
        <x:f>INDEX(Datos_47_semanas!$B$4:$B$50,C657)</x:f>
        <x:v>234</x:v>
      </x:c>
      <x:c r="E657" t="n">
        <x:f>MIN($B$4,D657)*$B$7+MAX($B$4-D657,0)*$B$9-$B$4*$B$8</x:f>
        <x:v>178.39999999999998</x:v>
      </x:c>
      <x:c r="F657" t="n">
        <x:f>MIN($B$5,D657)*$B$7+MAX($B$5-D657,0)*$B$9-$B$5*$B$8</x:f>
        <x:v>150.89999999999998</x:v>
      </x:c>
      <x:c r="G657" t="n">
        <x:f>MIN($B$6,D657)*$B$7+MAX($B$6-D657,0)*$B$9-$B$6*$B$8</x:f>
        <x:v>95.89999999999998</x:v>
      </x:c>
      <x:c r="H657" t="n">
        <x:f>MAX(D657-$B$5,0)</x:f>
        <x:v>0</x:v>
      </x:c>
      <x:c r="I657" t="n">
        <x:f>MAX($B$5-D657,0)</x:f>
        <x:v>66</x:v>
      </x:c>
    </x:row>
    <x:row r="658">
      <x:c r="A658" t="n">
        <x:f>646</x:f>
        <x:v>646</x:v>
      </x:c>
      <x:c r="B658" t="n">
        <x:f>RAND()</x:f>
        <x:v>0.7907015243943099</x:v>
      </x:c>
      <x:c r="C658" t="n">
        <x:f>MIN(47,INT(B658*47)+1)</x:f>
        <x:v>38</x:v>
      </x:c>
      <x:c r="D658" t="n">
        <x:f>INDEX(Datos_47_semanas!$B$4:$B$50,C658)</x:f>
        <x:v>212</x:v>
      </x:c>
      <x:c r="E658" t="n">
        <x:f>MIN($B$4,D658)*$B$7+MAX($B$4-D658,0)*$B$9-$B$4*$B$8</x:f>
        <x:v>148.69999999999993</x:v>
      </x:c>
      <x:c r="F658" t="n">
        <x:f>MIN($B$5,D658)*$B$7+MAX($B$5-D658,0)*$B$9-$B$5*$B$8</x:f>
        <x:v>121.19999999999993</x:v>
      </x:c>
      <x:c r="G658" t="n">
        <x:f>MIN($B$6,D658)*$B$7+MAX($B$6-D658,0)*$B$9-$B$6*$B$8</x:f>
        <x:v>66.19999999999993</x:v>
      </x:c>
      <x:c r="H658" t="n">
        <x:f>MAX(D658-$B$5,0)</x:f>
        <x:v>0</x:v>
      </x:c>
      <x:c r="I658" t="n">
        <x:f>MAX($B$5-D658,0)</x:f>
        <x:v>88</x:v>
      </x:c>
    </x:row>
    <x:row r="659">
      <x:c r="A659" t="n">
        <x:f>647</x:f>
        <x:v>647</x:v>
      </x:c>
      <x:c r="B659" t="n">
        <x:f>RAND()</x:f>
        <x:v>0.2724489982621422</x:v>
      </x:c>
      <x:c r="C659" t="n">
        <x:f>MIN(47,INT(B659*47)+1)</x:f>
        <x:v>13</x:v>
      </x:c>
      <x:c r="D659" t="n">
        <x:f>INDEX(Datos_47_semanas!$B$4:$B$50,C659)</x:f>
        <x:v>517</x:v>
      </x:c>
      <x:c r="E659" t="n">
        <x:f>MIN($B$4,D659)*$B$7+MAX($B$4-D659,0)*$B$9-$B$4*$B$8</x:f>
        <x:v>200</x:v>
      </x:c>
      <x:c r="F659" t="n">
        <x:f>MIN($B$5,D659)*$B$7+MAX($B$5-D659,0)*$B$9-$B$5*$B$8</x:f>
        <x:v>240</x:v>
      </x:c>
      <x:c r="G659" t="n">
        <x:f>MIN($B$6,D659)*$B$7+MAX($B$6-D659,0)*$B$9-$B$6*$B$8</x:f>
        <x:v>320</x:v>
      </x:c>
      <x:c r="H659" t="n">
        <x:f>MAX(D659-$B$5,0)</x:f>
        <x:v>217</x:v>
      </x:c>
      <x:c r="I659" t="n">
        <x:f>MAX($B$5-D659,0)</x:f>
        <x:v>0</x:v>
      </x:c>
    </x:row>
    <x:row r="660">
      <x:c r="A660" t="n">
        <x:f>648</x:f>
        <x:v>648</x:v>
      </x:c>
      <x:c r="B660" t="n">
        <x:f>RAND()</x:f>
        <x:v>0.3108724018734741</x:v>
      </x:c>
      <x:c r="C660" t="n">
        <x:f>MIN(47,INT(B660*47)+1)</x:f>
        <x:v>15</x:v>
      </x:c>
      <x:c r="D660" t="n">
        <x:f>INDEX(Datos_47_semanas!$B$4:$B$50,C660)</x:f>
        <x:v>275</x:v>
      </x:c>
      <x:c r="E660" t="n">
        <x:f>MIN($B$4,D660)*$B$7+MAX($B$4-D660,0)*$B$9-$B$4*$B$8</x:f>
        <x:v>200</x:v>
      </x:c>
      <x:c r="F660" t="n">
        <x:f>MIN($B$5,D660)*$B$7+MAX($B$5-D660,0)*$B$9-$B$5*$B$8</x:f>
        <x:v>206.25</x:v>
      </x:c>
      <x:c r="G660" t="n">
        <x:f>MIN($B$6,D660)*$B$7+MAX($B$6-D660,0)*$B$9-$B$6*$B$8</x:f>
        <x:v>151.25</x:v>
      </x:c>
      <x:c r="H660" t="n">
        <x:f>MAX(D660-$B$5,0)</x:f>
        <x:v>0</x:v>
      </x:c>
      <x:c r="I660" t="n">
        <x:f>MAX($B$5-D660,0)</x:f>
        <x:v>25</x:v>
      </x:c>
    </x:row>
    <x:row r="661">
      <x:c r="A661" t="n">
        <x:f>649</x:f>
        <x:v>649</x:v>
      </x:c>
      <x:c r="B661" t="n">
        <x:f>RAND()</x:f>
        <x:v>0.9436984168124405</x:v>
      </x:c>
      <x:c r="C661" t="n">
        <x:f>MIN(47,INT(B661*47)+1)</x:f>
        <x:v>45</x:v>
      </x:c>
      <x:c r="D661" t="n">
        <x:f>INDEX(Datos_47_semanas!$B$4:$B$50,C661)</x:f>
        <x:v>526</x:v>
      </x:c>
      <x:c r="E661" t="n">
        <x:f>MIN($B$4,D661)*$B$7+MAX($B$4-D661,0)*$B$9-$B$4*$B$8</x:f>
        <x:v>200</x:v>
      </x:c>
      <x:c r="F661" t="n">
        <x:f>MIN($B$5,D661)*$B$7+MAX($B$5-D661,0)*$B$9-$B$5*$B$8</x:f>
        <x:v>240</x:v>
      </x:c>
      <x:c r="G661" t="n">
        <x:f>MIN($B$6,D661)*$B$7+MAX($B$6-D661,0)*$B$9-$B$6*$B$8</x:f>
        <x:v>320</x:v>
      </x:c>
      <x:c r="H661" t="n">
        <x:f>MAX(D661-$B$5,0)</x:f>
        <x:v>226</x:v>
      </x:c>
      <x:c r="I661" t="n">
        <x:f>MAX($B$5-D661,0)</x:f>
        <x:v>0</x:v>
      </x:c>
    </x:row>
    <x:row r="662">
      <x:c r="A662" t="n">
        <x:f>650</x:f>
        <x:v>650</x:v>
      </x:c>
      <x:c r="B662" t="n">
        <x:f>RAND()</x:f>
        <x:v>0.7820378092632098</x:v>
      </x:c>
      <x:c r="C662" t="n">
        <x:f>MIN(47,INT(B662*47)+1)</x:f>
        <x:v>37</x:v>
      </x:c>
      <x:c r="D662" t="n">
        <x:f>INDEX(Datos_47_semanas!$B$4:$B$50,C662)</x:f>
        <x:v>299</x:v>
      </x:c>
      <x:c r="E662" t="n">
        <x:f>MIN($B$4,D662)*$B$7+MAX($B$4-D662,0)*$B$9-$B$4*$B$8</x:f>
        <x:v>200</x:v>
      </x:c>
      <x:c r="F662" t="n">
        <x:f>MIN($B$5,D662)*$B$7+MAX($B$5-D662,0)*$B$9-$B$5*$B$8</x:f>
        <x:v>238.64999999999998</x:v>
      </x:c>
      <x:c r="G662" t="n">
        <x:f>MIN($B$6,D662)*$B$7+MAX($B$6-D662,0)*$B$9-$B$6*$B$8</x:f>
        <x:v>183.64999999999998</x:v>
      </x:c>
      <x:c r="H662" t="n">
        <x:f>MAX(D662-$B$5,0)</x:f>
        <x:v>0</x:v>
      </x:c>
      <x:c r="I662" t="n">
        <x:f>MAX($B$5-D662,0)</x:f>
        <x:v>1</x:v>
      </x:c>
    </x:row>
    <x:row r="663">
      <x:c r="A663" t="n">
        <x:f>651</x:f>
        <x:v>651</x:v>
      </x:c>
      <x:c r="B663" t="n">
        <x:f>RAND()</x:f>
        <x:v>0.8976151614354447</x:v>
      </x:c>
      <x:c r="C663" t="n">
        <x:f>MIN(47,INT(B663*47)+1)</x:f>
        <x:v>43</x:v>
      </x:c>
      <x:c r="D663" t="n">
        <x:f>INDEX(Datos_47_semanas!$B$4:$B$50,C663)</x:f>
        <x:v>234</x:v>
      </x:c>
      <x:c r="E663" t="n">
        <x:f>MIN($B$4,D663)*$B$7+MAX($B$4-D663,0)*$B$9-$B$4*$B$8</x:f>
        <x:v>178.39999999999998</x:v>
      </x:c>
      <x:c r="F663" t="n">
        <x:f>MIN($B$5,D663)*$B$7+MAX($B$5-D663,0)*$B$9-$B$5*$B$8</x:f>
        <x:v>150.89999999999998</x:v>
      </x:c>
      <x:c r="G663" t="n">
        <x:f>MIN($B$6,D663)*$B$7+MAX($B$6-D663,0)*$B$9-$B$6*$B$8</x:f>
        <x:v>95.89999999999998</x:v>
      </x:c>
      <x:c r="H663" t="n">
        <x:f>MAX(D663-$B$5,0)</x:f>
        <x:v>0</x:v>
      </x:c>
      <x:c r="I663" t="n">
        <x:f>MAX($B$5-D663,0)</x:f>
        <x:v>66</x:v>
      </x:c>
    </x:row>
    <x:row r="664">
      <x:c r="A664" t="n">
        <x:f>652</x:f>
        <x:v>652</x:v>
      </x:c>
      <x:c r="B664" t="n">
        <x:f>RAND()</x:f>
        <x:v>0.0457593544203766</x:v>
      </x:c>
      <x:c r="C664" t="n">
        <x:f>MIN(47,INT(B664*47)+1)</x:f>
        <x:v>3</x:v>
      </x:c>
      <x:c r="D664" t="n">
        <x:f>INDEX(Datos_47_semanas!$B$4:$B$50,C664)</x:f>
        <x:v>128</x:v>
      </x:c>
      <x:c r="E664" t="n">
        <x:f>MIN($B$4,D664)*$B$7+MAX($B$4-D664,0)*$B$9-$B$4*$B$8</x:f>
        <x:v>35.29999999999998</x:v>
      </x:c>
      <x:c r="F664" t="n">
        <x:f>MIN($B$5,D664)*$B$7+MAX($B$5-D664,0)*$B$9-$B$5*$B$8</x:f>
        <x:v>7.800000000000011</x:v>
      </x:c>
      <x:c r="G664" t="n">
        <x:f>MIN($B$6,D664)*$B$7+MAX($B$6-D664,0)*$B$9-$B$6*$B$8</x:f>
        <x:v>-47.200000000000045</x:v>
      </x:c>
      <x:c r="H664" t="n">
        <x:f>MAX(D664-$B$5,0)</x:f>
        <x:v>0</x:v>
      </x:c>
      <x:c r="I664" t="n">
        <x:f>MAX($B$5-D664,0)</x:f>
        <x:v>172</x:v>
      </x:c>
    </x:row>
    <x:row r="665">
      <x:c r="A665" t="n">
        <x:f>653</x:f>
        <x:v>653</x:v>
      </x:c>
      <x:c r="B665" t="n">
        <x:f>RAND()</x:f>
        <x:v>0.363770491209914</x:v>
      </x:c>
      <x:c r="C665" t="n">
        <x:f>MIN(47,INT(B665*47)+1)</x:f>
        <x:v>18</x:v>
      </x:c>
      <x:c r="D665" t="n">
        <x:f>INDEX(Datos_47_semanas!$B$4:$B$50,C665)</x:f>
        <x:v>219</x:v>
      </x:c>
      <x:c r="E665" t="n">
        <x:f>MIN($B$4,D665)*$B$7+MAX($B$4-D665,0)*$B$9-$B$4*$B$8</x:f>
        <x:v>158.14999999999998</x:v>
      </x:c>
      <x:c r="F665" t="n">
        <x:f>MIN($B$5,D665)*$B$7+MAX($B$5-D665,0)*$B$9-$B$5*$B$8</x:f>
        <x:v>130.64999999999998</x:v>
      </x:c>
      <x:c r="G665" t="n">
        <x:f>MIN($B$6,D665)*$B$7+MAX($B$6-D665,0)*$B$9-$B$6*$B$8</x:f>
        <x:v>75.64999999999998</x:v>
      </x:c>
      <x:c r="H665" t="n">
        <x:f>MAX(D665-$B$5,0)</x:f>
        <x:v>0</x:v>
      </x:c>
      <x:c r="I665" t="n">
        <x:f>MAX($B$5-D665,0)</x:f>
        <x:v>81</x:v>
      </x:c>
    </x:row>
    <x:row r="666">
      <x:c r="A666" t="n">
        <x:f>654</x:f>
        <x:v>654</x:v>
      </x:c>
      <x:c r="B666" t="n">
        <x:f>RAND()</x:f>
        <x:v>0.35489629058851335</x:v>
      </x:c>
      <x:c r="C666" t="n">
        <x:f>MIN(47,INT(B666*47)+1)</x:f>
        <x:v>17</x:v>
      </x:c>
      <x:c r="D666" t="n">
        <x:f>INDEX(Datos_47_semanas!$B$4:$B$50,C666)</x:f>
        <x:v>154</x:v>
      </x:c>
      <x:c r="E666" t="n">
        <x:f>MIN($B$4,D666)*$B$7+MAX($B$4-D666,0)*$B$9-$B$4*$B$8</x:f>
        <x:v>70.39999999999998</x:v>
      </x:c>
      <x:c r="F666" t="n">
        <x:f>MIN($B$5,D666)*$B$7+MAX($B$5-D666,0)*$B$9-$B$5*$B$8</x:f>
        <x:v>42.89999999999998</x:v>
      </x:c>
      <x:c r="G666" t="n">
        <x:f>MIN($B$6,D666)*$B$7+MAX($B$6-D666,0)*$B$9-$B$6*$B$8</x:f>
        <x:v>-12.100000000000023</x:v>
      </x:c>
      <x:c r="H666" t="n">
        <x:f>MAX(D666-$B$5,0)</x:f>
        <x:v>0</x:v>
      </x:c>
      <x:c r="I666" t="n">
        <x:f>MAX($B$5-D666,0)</x:f>
        <x:v>146</x:v>
      </x:c>
    </x:row>
    <x:row r="667">
      <x:c r="A667" t="n">
        <x:f>655</x:f>
        <x:v>655</x:v>
      </x:c>
      <x:c r="B667" t="n">
        <x:f>RAND()</x:f>
        <x:v>0.7308650915517996</x:v>
      </x:c>
      <x:c r="C667" t="n">
        <x:f>MIN(47,INT(B667*47)+1)</x:f>
        <x:v>35</x:v>
      </x:c>
      <x:c r="D667" t="n">
        <x:f>INDEX(Datos_47_semanas!$B$4:$B$50,C667)</x:f>
        <x:v>192</x:v>
      </x:c>
      <x:c r="E667" t="n">
        <x:f>MIN($B$4,D667)*$B$7+MAX($B$4-D667,0)*$B$9-$B$4*$B$8</x:f>
        <x:v>121.69999999999993</x:v>
      </x:c>
      <x:c r="F667" t="n">
        <x:f>MIN($B$5,D667)*$B$7+MAX($B$5-D667,0)*$B$9-$B$5*$B$8</x:f>
        <x:v>94.19999999999993</x:v>
      </x:c>
      <x:c r="G667" t="n">
        <x:f>MIN($B$6,D667)*$B$7+MAX($B$6-D667,0)*$B$9-$B$6*$B$8</x:f>
        <x:v>39.19999999999993</x:v>
      </x:c>
      <x:c r="H667" t="n">
        <x:f>MAX(D667-$B$5,0)</x:f>
        <x:v>0</x:v>
      </x:c>
      <x:c r="I667" t="n">
        <x:f>MAX($B$5-D667,0)</x:f>
        <x:v>108</x:v>
      </x:c>
    </x:row>
    <x:row r="668">
      <x:c r="A668" t="n">
        <x:f>656</x:f>
        <x:v>656</x:v>
      </x:c>
      <x:c r="B668" t="n">
        <x:f>RAND()</x:f>
        <x:v>0.982113341500043</x:v>
      </x:c>
      <x:c r="C668" t="n">
        <x:f>MIN(47,INT(B668*47)+1)</x:f>
        <x:v>47</x:v>
      </x:c>
      <x:c r="D668" t="n">
        <x:f>INDEX(Datos_47_semanas!$B$4:$B$50,C668)</x:f>
        <x:v>256</x:v>
      </x:c>
      <x:c r="E668" t="n">
        <x:f>MIN($B$4,D668)*$B$7+MAX($B$4-D668,0)*$B$9-$B$4*$B$8</x:f>
        <x:v>200</x:v>
      </x:c>
      <x:c r="F668" t="n">
        <x:f>MIN($B$5,D668)*$B$7+MAX($B$5-D668,0)*$B$9-$B$5*$B$8</x:f>
        <x:v>180.59999999999997</x:v>
      </x:c>
      <x:c r="G668" t="n">
        <x:f>MIN($B$6,D668)*$B$7+MAX($B$6-D668,0)*$B$9-$B$6*$B$8</x:f>
        <x:v>125.59999999999997</x:v>
      </x:c>
      <x:c r="H668" t="n">
        <x:f>MAX(D668-$B$5,0)</x:f>
        <x:v>0</x:v>
      </x:c>
      <x:c r="I668" t="n">
        <x:f>MAX($B$5-D668,0)</x:f>
        <x:v>44</x:v>
      </x:c>
    </x:row>
    <x:row r="669">
      <x:c r="A669" t="n">
        <x:f>657</x:f>
        <x:v>657</x:v>
      </x:c>
      <x:c r="B669" t="n">
        <x:f>RAND()</x:f>
        <x:v>0.5022077255160662</x:v>
      </x:c>
      <x:c r="C669" t="n">
        <x:f>MIN(47,INT(B669*47)+1)</x:f>
        <x:v>24</x:v>
      </x:c>
      <x:c r="D669" t="n">
        <x:f>INDEX(Datos_47_semanas!$B$4:$B$50,C669)</x:f>
        <x:v>186</x:v>
      </x:c>
      <x:c r="E669" t="n">
        <x:f>MIN($B$4,D669)*$B$7+MAX($B$4-D669,0)*$B$9-$B$4*$B$8</x:f>
        <x:v>113.59999999999997</x:v>
      </x:c>
      <x:c r="F669" t="n">
        <x:f>MIN($B$5,D669)*$B$7+MAX($B$5-D669,0)*$B$9-$B$5*$B$8</x:f>
        <x:v>86.09999999999997</x:v>
      </x:c>
      <x:c r="G669" t="n">
        <x:f>MIN($B$6,D669)*$B$7+MAX($B$6-D669,0)*$B$9-$B$6*$B$8</x:f>
        <x:v>31.099999999999966</x:v>
      </x:c>
      <x:c r="H669" t="n">
        <x:f>MAX(D669-$B$5,0)</x:f>
        <x:v>0</x:v>
      </x:c>
      <x:c r="I669" t="n">
        <x:f>MAX($B$5-D669,0)</x:f>
        <x:v>114</x:v>
      </x:c>
    </x:row>
    <x:row r="670">
      <x:c r="A670" t="n">
        <x:f>658</x:f>
        <x:v>658</x:v>
      </x:c>
      <x:c r="B670" t="n">
        <x:f>RAND()</x:f>
        <x:v>0.26226597145018316</x:v>
      </x:c>
      <x:c r="C670" t="n">
        <x:f>MIN(47,INT(B670*47)+1)</x:f>
        <x:v>13</x:v>
      </x:c>
      <x:c r="D670" t="n">
        <x:f>INDEX(Datos_47_semanas!$B$4:$B$50,C670)</x:f>
        <x:v>517</x:v>
      </x:c>
      <x:c r="E670" t="n">
        <x:f>MIN($B$4,D670)*$B$7+MAX($B$4-D670,0)*$B$9-$B$4*$B$8</x:f>
        <x:v>200</x:v>
      </x:c>
      <x:c r="F670" t="n">
        <x:f>MIN($B$5,D670)*$B$7+MAX($B$5-D670,0)*$B$9-$B$5*$B$8</x:f>
        <x:v>240</x:v>
      </x:c>
      <x:c r="G670" t="n">
        <x:f>MIN($B$6,D670)*$B$7+MAX($B$6-D670,0)*$B$9-$B$6*$B$8</x:f>
        <x:v>320</x:v>
      </x:c>
      <x:c r="H670" t="n">
        <x:f>MAX(D670-$B$5,0)</x:f>
        <x:v>217</x:v>
      </x:c>
      <x:c r="I670" t="n">
        <x:f>MAX($B$5-D670,0)</x:f>
        <x:v>0</x:v>
      </x:c>
    </x:row>
    <x:row r="671">
      <x:c r="A671" t="n">
        <x:f>659</x:f>
        <x:v>659</x:v>
      </x:c>
      <x:c r="B671" t="n">
        <x:f>RAND()</x:f>
        <x:v>0.028354978871768854</x:v>
      </x:c>
      <x:c r="C671" t="n">
        <x:f>MIN(47,INT(B671*47)+1)</x:f>
        <x:v>2</x:v>
      </x:c>
      <x:c r="D671" t="n">
        <x:f>INDEX(Datos_47_semanas!$B$4:$B$50,C671)</x:f>
        <x:v>282</x:v>
      </x:c>
      <x:c r="E671" t="n">
        <x:f>MIN($B$4,D671)*$B$7+MAX($B$4-D671,0)*$B$9-$B$4*$B$8</x:f>
        <x:v>200</x:v>
      </x:c>
      <x:c r="F671" t="n">
        <x:f>MIN($B$5,D671)*$B$7+MAX($B$5-D671,0)*$B$9-$B$5*$B$8</x:f>
        <x:v>215.69999999999993</x:v>
      </x:c>
      <x:c r="G671" t="n">
        <x:f>MIN($B$6,D671)*$B$7+MAX($B$6-D671,0)*$B$9-$B$6*$B$8</x:f>
        <x:v>160.69999999999993</x:v>
      </x:c>
      <x:c r="H671" t="n">
        <x:f>MAX(D671-$B$5,0)</x:f>
        <x:v>0</x:v>
      </x:c>
      <x:c r="I671" t="n">
        <x:f>MAX($B$5-D671,0)</x:f>
        <x:v>18</x:v>
      </x:c>
    </x:row>
    <x:row r="672">
      <x:c r="A672" t="n">
        <x:f>660</x:f>
        <x:v>660</x:v>
      </x:c>
      <x:c r="B672" t="n">
        <x:f>RAND()</x:f>
        <x:v>0.19668484373834194</x:v>
      </x:c>
      <x:c r="C672" t="n">
        <x:f>MIN(47,INT(B672*47)+1)</x:f>
        <x:v>10</x:v>
      </x:c>
      <x:c r="D672" t="n">
        <x:f>INDEX(Datos_47_semanas!$B$4:$B$50,C672)</x:f>
        <x:v>98</x:v>
      </x:c>
      <x:c r="E672" t="n">
        <x:f>MIN($B$4,D672)*$B$7+MAX($B$4-D672,0)*$B$9-$B$4*$B$8</x:f>
        <x:v>-5.200000000000017</x:v>
      </x:c>
      <x:c r="F672" t="n">
        <x:f>MIN($B$5,D672)*$B$7+MAX($B$5-D672,0)*$B$9-$B$5*$B$8</x:f>
        <x:v>-32.70000000000002</x:v>
      </x:c>
      <x:c r="G672" t="n">
        <x:f>MIN($B$6,D672)*$B$7+MAX($B$6-D672,0)*$B$9-$B$6*$B$8</x:f>
        <x:v>-87.70000000000002</x:v>
      </x:c>
      <x:c r="H672" t="n">
        <x:f>MAX(D672-$B$5,0)</x:f>
        <x:v>0</x:v>
      </x:c>
      <x:c r="I672" t="n">
        <x:f>MAX($B$5-D672,0)</x:f>
        <x:v>202</x:v>
      </x:c>
    </x:row>
    <x:row r="673">
      <x:c r="A673" t="n">
        <x:f>661</x:f>
        <x:v>661</x:v>
      </x:c>
      <x:c r="B673" t="n">
        <x:f>RAND()</x:f>
        <x:v>0.06949189928591204</x:v>
      </x:c>
      <x:c r="C673" t="n">
        <x:f>MIN(47,INT(B673*47)+1)</x:f>
        <x:v>4</x:v>
      </x:c>
      <x:c r="D673" t="n">
        <x:f>INDEX(Datos_47_semanas!$B$4:$B$50,C673)</x:f>
        <x:v>161</x:v>
      </x:c>
      <x:c r="E673" t="n">
        <x:f>MIN($B$4,D673)*$B$7+MAX($B$4-D673,0)*$B$9-$B$4*$B$8</x:f>
        <x:v>79.84999999999997</x:v>
      </x:c>
      <x:c r="F673" t="n">
        <x:f>MIN($B$5,D673)*$B$7+MAX($B$5-D673,0)*$B$9-$B$5*$B$8</x:f>
        <x:v>52.349999999999966</x:v>
      </x:c>
      <x:c r="G673" t="n">
        <x:f>MIN($B$6,D673)*$B$7+MAX($B$6-D673,0)*$B$9-$B$6*$B$8</x:f>
        <x:v>-2.650000000000034</x:v>
      </x:c>
      <x:c r="H673" t="n">
        <x:f>MAX(D673-$B$5,0)</x:f>
        <x:v>0</x:v>
      </x:c>
      <x:c r="I673" t="n">
        <x:f>MAX($B$5-D673,0)</x:f>
        <x:v>139</x:v>
      </x:c>
    </x:row>
    <x:row r="674">
      <x:c r="A674" t="n">
        <x:f>662</x:f>
        <x:v>662</x:v>
      </x:c>
      <x:c r="B674" t="n">
        <x:f>RAND()</x:f>
        <x:v>0.9569891719953644</x:v>
      </x:c>
      <x:c r="C674" t="n">
        <x:f>MIN(47,INT(B674*47)+1)</x:f>
        <x:v>45</x:v>
      </x:c>
      <x:c r="D674" t="n">
        <x:f>INDEX(Datos_47_semanas!$B$4:$B$50,C674)</x:f>
        <x:v>526</x:v>
      </x:c>
      <x:c r="E674" t="n">
        <x:f>MIN($B$4,D674)*$B$7+MAX($B$4-D674,0)*$B$9-$B$4*$B$8</x:f>
        <x:v>200</x:v>
      </x:c>
      <x:c r="F674" t="n">
        <x:f>MIN($B$5,D674)*$B$7+MAX($B$5-D674,0)*$B$9-$B$5*$B$8</x:f>
        <x:v>240</x:v>
      </x:c>
      <x:c r="G674" t="n">
        <x:f>MIN($B$6,D674)*$B$7+MAX($B$6-D674,0)*$B$9-$B$6*$B$8</x:f>
        <x:v>320</x:v>
      </x:c>
      <x:c r="H674" t="n">
        <x:f>MAX(D674-$B$5,0)</x:f>
        <x:v>226</x:v>
      </x:c>
      <x:c r="I674" t="n">
        <x:f>MAX($B$5-D674,0)</x:f>
        <x:v>0</x:v>
      </x:c>
    </x:row>
    <x:row r="675">
      <x:c r="A675" t="n">
        <x:f>663</x:f>
        <x:v>663</x:v>
      </x:c>
      <x:c r="B675" t="n">
        <x:f>RAND()</x:f>
        <x:v>0.6981321225639338</x:v>
      </x:c>
      <x:c r="C675" t="n">
        <x:f>MIN(47,INT(B675*47)+1)</x:f>
        <x:v>33</x:v>
      </x:c>
      <x:c r="D675" t="n">
        <x:f>INDEX(Datos_47_semanas!$B$4:$B$50,C675)</x:f>
        <x:v>373</x:v>
      </x:c>
      <x:c r="E675" t="n">
        <x:f>MIN($B$4,D675)*$B$7+MAX($B$4-D675,0)*$B$9-$B$4*$B$8</x:f>
        <x:v>200</x:v>
      </x:c>
      <x:c r="F675" t="n">
        <x:f>MIN($B$5,D675)*$B$7+MAX($B$5-D675,0)*$B$9-$B$5*$B$8</x:f>
        <x:v>240</x:v>
      </x:c>
      <x:c r="G675" t="n">
        <x:f>MIN($B$6,D675)*$B$7+MAX($B$6-D675,0)*$B$9-$B$6*$B$8</x:f>
        <x:v>283.54999999999995</x:v>
      </x:c>
      <x:c r="H675" t="n">
        <x:f>MAX(D675-$B$5,0)</x:f>
        <x:v>73</x:v>
      </x:c>
      <x:c r="I675" t="n">
        <x:f>MAX($B$5-D675,0)</x:f>
        <x:v>0</x:v>
      </x:c>
    </x:row>
    <x:row r="676">
      <x:c r="A676" t="n">
        <x:f>664</x:f>
        <x:v>664</x:v>
      </x:c>
      <x:c r="B676" t="n">
        <x:f>RAND()</x:f>
        <x:v>0.8559599231404932</x:v>
      </x:c>
      <x:c r="C676" t="n">
        <x:f>MIN(47,INT(B676*47)+1)</x:f>
        <x:v>41</x:v>
      </x:c>
      <x:c r="D676" t="n">
        <x:f>INDEX(Datos_47_semanas!$B$4:$B$50,C676)</x:f>
        <x:v>383</x:v>
      </x:c>
      <x:c r="E676" t="n">
        <x:f>MIN($B$4,D676)*$B$7+MAX($B$4-D676,0)*$B$9-$B$4*$B$8</x:f>
        <x:v>200</x:v>
      </x:c>
      <x:c r="F676" t="n">
        <x:f>MIN($B$5,D676)*$B$7+MAX($B$5-D676,0)*$B$9-$B$5*$B$8</x:f>
        <x:v>240</x:v>
      </x:c>
      <x:c r="G676" t="n">
        <x:f>MIN($B$6,D676)*$B$7+MAX($B$6-D676,0)*$B$9-$B$6*$B$8</x:f>
        <x:v>297.04999999999995</x:v>
      </x:c>
      <x:c r="H676" t="n">
        <x:f>MAX(D676-$B$5,0)</x:f>
        <x:v>83</x:v>
      </x:c>
      <x:c r="I676" t="n">
        <x:f>MAX($B$5-D676,0)</x:f>
        <x:v>0</x:v>
      </x:c>
    </x:row>
    <x:row r="677">
      <x:c r="A677" t="n">
        <x:f>665</x:f>
        <x:v>665</x:v>
      </x:c>
      <x:c r="B677" t="n">
        <x:f>RAND()</x:f>
        <x:v>0.8994751972662418</x:v>
      </x:c>
      <x:c r="C677" t="n">
        <x:f>MIN(47,INT(B677*47)+1)</x:f>
        <x:v>43</x:v>
      </x:c>
      <x:c r="D677" t="n">
        <x:f>INDEX(Datos_47_semanas!$B$4:$B$50,C677)</x:f>
        <x:v>234</x:v>
      </x:c>
      <x:c r="E677" t="n">
        <x:f>MIN($B$4,D677)*$B$7+MAX($B$4-D677,0)*$B$9-$B$4*$B$8</x:f>
        <x:v>178.39999999999998</x:v>
      </x:c>
      <x:c r="F677" t="n">
        <x:f>MIN($B$5,D677)*$B$7+MAX($B$5-D677,0)*$B$9-$B$5*$B$8</x:f>
        <x:v>150.89999999999998</x:v>
      </x:c>
      <x:c r="G677" t="n">
        <x:f>MIN($B$6,D677)*$B$7+MAX($B$6-D677,0)*$B$9-$B$6*$B$8</x:f>
        <x:v>95.89999999999998</x:v>
      </x:c>
      <x:c r="H677" t="n">
        <x:f>MAX(D677-$B$5,0)</x:f>
        <x:v>0</x:v>
      </x:c>
      <x:c r="I677" t="n">
        <x:f>MAX($B$5-D677,0)</x:f>
        <x:v>66</x:v>
      </x:c>
    </x:row>
    <x:row r="678">
      <x:c r="A678" t="n">
        <x:f>666</x:f>
        <x:v>666</x:v>
      </x:c>
      <x:c r="B678" t="n">
        <x:f>RAND()</x:f>
        <x:v>0.3059674778406789</x:v>
      </x:c>
      <x:c r="C678" t="n">
        <x:f>MIN(47,INT(B678*47)+1)</x:f>
        <x:v>15</x:v>
      </x:c>
      <x:c r="D678" t="n">
        <x:f>INDEX(Datos_47_semanas!$B$4:$B$50,C678)</x:f>
        <x:v>275</x:v>
      </x:c>
      <x:c r="E678" t="n">
        <x:f>MIN($B$4,D678)*$B$7+MAX($B$4-D678,0)*$B$9-$B$4*$B$8</x:f>
        <x:v>200</x:v>
      </x:c>
      <x:c r="F678" t="n">
        <x:f>MIN($B$5,D678)*$B$7+MAX($B$5-D678,0)*$B$9-$B$5*$B$8</x:f>
        <x:v>206.25</x:v>
      </x:c>
      <x:c r="G678" t="n">
        <x:f>MIN($B$6,D678)*$B$7+MAX($B$6-D678,0)*$B$9-$B$6*$B$8</x:f>
        <x:v>151.25</x:v>
      </x:c>
      <x:c r="H678" t="n">
        <x:f>MAX(D678-$B$5,0)</x:f>
        <x:v>0</x:v>
      </x:c>
      <x:c r="I678" t="n">
        <x:f>MAX($B$5-D678,0)</x:f>
        <x:v>25</x:v>
      </x:c>
    </x:row>
    <x:row r="679">
      <x:c r="A679" t="n">
        <x:f>667</x:f>
        <x:v>667</x:v>
      </x:c>
      <x:c r="B679" t="n">
        <x:f>RAND()</x:f>
        <x:v>0.23300593022634397</x:v>
      </x:c>
      <x:c r="C679" t="n">
        <x:f>MIN(47,INT(B679*47)+1)</x:f>
        <x:v>11</x:v>
      </x:c>
      <x:c r="D679" t="n">
        <x:f>INDEX(Datos_47_semanas!$B$4:$B$50,C679)</x:f>
        <x:v>268</x:v>
      </x:c>
      <x:c r="E679" t="n">
        <x:f>MIN($B$4,D679)*$B$7+MAX($B$4-D679,0)*$B$9-$B$4*$B$8</x:f>
        <x:v>200</x:v>
      </x:c>
      <x:c r="F679" t="n">
        <x:f>MIN($B$5,D679)*$B$7+MAX($B$5-D679,0)*$B$9-$B$5*$B$8</x:f>
        <x:v>196.8</x:v>
      </x:c>
      <x:c r="G679" t="n">
        <x:f>MIN($B$6,D679)*$B$7+MAX($B$6-D679,0)*$B$9-$B$6*$B$8</x:f>
        <x:v>141.8</x:v>
      </x:c>
      <x:c r="H679" t="n">
        <x:f>MAX(D679-$B$5,0)</x:f>
        <x:v>0</x:v>
      </x:c>
      <x:c r="I679" t="n">
        <x:f>MAX($B$5-D679,0)</x:f>
        <x:v>32</x:v>
      </x:c>
    </x:row>
    <x:row r="680">
      <x:c r="A680" t="n">
        <x:f>668</x:f>
        <x:v>668</x:v>
      </x:c>
      <x:c r="B680" t="n">
        <x:f>RAND()</x:f>
        <x:v>0.4901262310948036</x:v>
      </x:c>
      <x:c r="C680" t="n">
        <x:f>MIN(47,INT(B680*47)+1)</x:f>
        <x:v>24</x:v>
      </x:c>
      <x:c r="D680" t="n">
        <x:f>INDEX(Datos_47_semanas!$B$4:$B$50,C680)</x:f>
        <x:v>186</x:v>
      </x:c>
      <x:c r="E680" t="n">
        <x:f>MIN($B$4,D680)*$B$7+MAX($B$4-D680,0)*$B$9-$B$4*$B$8</x:f>
        <x:v>113.59999999999997</x:v>
      </x:c>
      <x:c r="F680" t="n">
        <x:f>MIN($B$5,D680)*$B$7+MAX($B$5-D680,0)*$B$9-$B$5*$B$8</x:f>
        <x:v>86.09999999999997</x:v>
      </x:c>
      <x:c r="G680" t="n">
        <x:f>MIN($B$6,D680)*$B$7+MAX($B$6-D680,0)*$B$9-$B$6*$B$8</x:f>
        <x:v>31.099999999999966</x:v>
      </x:c>
      <x:c r="H680" t="n">
        <x:f>MAX(D680-$B$5,0)</x:f>
        <x:v>0</x:v>
      </x:c>
      <x:c r="I680" t="n">
        <x:f>MAX($B$5-D680,0)</x:f>
        <x:v>114</x:v>
      </x:c>
    </x:row>
    <x:row r="681">
      <x:c r="A681" t="n">
        <x:f>669</x:f>
        <x:v>669</x:v>
      </x:c>
      <x:c r="B681" t="n">
        <x:f>RAND()</x:f>
        <x:v>0.6635440322084374</x:v>
      </x:c>
      <x:c r="C681" t="n">
        <x:f>MIN(47,INT(B681*47)+1)</x:f>
        <x:v>32</x:v>
      </x:c>
      <x:c r="D681" t="n">
        <x:f>INDEX(Datos_47_semanas!$B$4:$B$50,C681)</x:f>
        <x:v>575</x:v>
      </x:c>
      <x:c r="E681" t="n">
        <x:f>MIN($B$4,D681)*$B$7+MAX($B$4-D681,0)*$B$9-$B$4*$B$8</x:f>
        <x:v>200</x:v>
      </x:c>
      <x:c r="F681" t="n">
        <x:f>MIN($B$5,D681)*$B$7+MAX($B$5-D681,0)*$B$9-$B$5*$B$8</x:f>
        <x:v>240</x:v>
      </x:c>
      <x:c r="G681" t="n">
        <x:f>MIN($B$6,D681)*$B$7+MAX($B$6-D681,0)*$B$9-$B$6*$B$8</x:f>
        <x:v>320</x:v>
      </x:c>
      <x:c r="H681" t="n">
        <x:f>MAX(D681-$B$5,0)</x:f>
        <x:v>275</x:v>
      </x:c>
      <x:c r="I681" t="n">
        <x:f>MAX($B$5-D681,0)</x:f>
        <x:v>0</x:v>
      </x:c>
    </x:row>
    <x:row r="682">
      <x:c r="A682" t="n">
        <x:f>670</x:f>
        <x:v>670</x:v>
      </x:c>
      <x:c r="B682" t="n">
        <x:f>RAND()</x:f>
        <x:v>0.9025555656163602</x:v>
      </x:c>
      <x:c r="C682" t="n">
        <x:f>MIN(47,INT(B682*47)+1)</x:f>
        <x:v>43</x:v>
      </x:c>
      <x:c r="D682" t="n">
        <x:f>INDEX(Datos_47_semanas!$B$4:$B$50,C682)</x:f>
        <x:v>234</x:v>
      </x:c>
      <x:c r="E682" t="n">
        <x:f>MIN($B$4,D682)*$B$7+MAX($B$4-D682,0)*$B$9-$B$4*$B$8</x:f>
        <x:v>178.39999999999998</x:v>
      </x:c>
      <x:c r="F682" t="n">
        <x:f>MIN($B$5,D682)*$B$7+MAX($B$5-D682,0)*$B$9-$B$5*$B$8</x:f>
        <x:v>150.89999999999998</x:v>
      </x:c>
      <x:c r="G682" t="n">
        <x:f>MIN($B$6,D682)*$B$7+MAX($B$6-D682,0)*$B$9-$B$6*$B$8</x:f>
        <x:v>95.89999999999998</x:v>
      </x:c>
      <x:c r="H682" t="n">
        <x:f>MAX(D682-$B$5,0)</x:f>
        <x:v>0</x:v>
      </x:c>
      <x:c r="I682" t="n">
        <x:f>MAX($B$5-D682,0)</x:f>
        <x:v>66</x:v>
      </x:c>
    </x:row>
    <x:row r="683">
      <x:c r="A683" t="n">
        <x:f>671</x:f>
        <x:v>671</x:v>
      </x:c>
      <x:c r="B683" t="n">
        <x:f>RAND()</x:f>
        <x:v>0.3357668057626513</x:v>
      </x:c>
      <x:c r="C683" t="n">
        <x:f>MIN(47,INT(B683*47)+1)</x:f>
        <x:v>16</x:v>
      </x:c>
      <x:c r="D683" t="n">
        <x:f>INDEX(Datos_47_semanas!$B$4:$B$50,C683)</x:f>
        <x:v>318</x:v>
      </x:c>
      <x:c r="E683" t="n">
        <x:f>MIN($B$4,D683)*$B$7+MAX($B$4-D683,0)*$B$9-$B$4*$B$8</x:f>
        <x:v>200</x:v>
      </x:c>
      <x:c r="F683" t="n">
        <x:f>MIN($B$5,D683)*$B$7+MAX($B$5-D683,0)*$B$9-$B$5*$B$8</x:f>
        <x:v>240</x:v>
      </x:c>
      <x:c r="G683" t="n">
        <x:f>MIN($B$6,D683)*$B$7+MAX($B$6-D683,0)*$B$9-$B$6*$B$8</x:f>
        <x:v>209.29999999999995</x:v>
      </x:c>
      <x:c r="H683" t="n">
        <x:f>MAX(D683-$B$5,0)</x:f>
        <x:v>18</x:v>
      </x:c>
      <x:c r="I683" t="n">
        <x:f>MAX($B$5-D683,0)</x:f>
        <x:v>0</x:v>
      </x:c>
    </x:row>
    <x:row r="684">
      <x:c r="A684" t="n">
        <x:f>672</x:f>
        <x:v>672</x:v>
      </x:c>
      <x:c r="B684" t="n">
        <x:f>RAND()</x:f>
        <x:v>0.27322925504049433</x:v>
      </x:c>
      <x:c r="C684" t="n">
        <x:f>MIN(47,INT(B684*47)+1)</x:f>
        <x:v>13</x:v>
      </x:c>
      <x:c r="D684" t="n">
        <x:f>INDEX(Datos_47_semanas!$B$4:$B$50,C684)</x:f>
        <x:v>517</x:v>
      </x:c>
      <x:c r="E684" t="n">
        <x:f>MIN($B$4,D684)*$B$7+MAX($B$4-D684,0)*$B$9-$B$4*$B$8</x:f>
        <x:v>200</x:v>
      </x:c>
      <x:c r="F684" t="n">
        <x:f>MIN($B$5,D684)*$B$7+MAX($B$5-D684,0)*$B$9-$B$5*$B$8</x:f>
        <x:v>240</x:v>
      </x:c>
      <x:c r="G684" t="n">
        <x:f>MIN($B$6,D684)*$B$7+MAX($B$6-D684,0)*$B$9-$B$6*$B$8</x:f>
        <x:v>320</x:v>
      </x:c>
      <x:c r="H684" t="n">
        <x:f>MAX(D684-$B$5,0)</x:f>
        <x:v>217</x:v>
      </x:c>
      <x:c r="I684" t="n">
        <x:f>MAX($B$5-D684,0)</x:f>
        <x:v>0</x:v>
      </x:c>
    </x:row>
    <x:row r="685">
      <x:c r="A685" t="n">
        <x:f>673</x:f>
        <x:v>673</x:v>
      </x:c>
      <x:c r="B685" t="n">
        <x:f>RAND()</x:f>
        <x:v>0.8582918288723563</x:v>
      </x:c>
      <x:c r="C685" t="n">
        <x:f>MIN(47,INT(B685*47)+1)</x:f>
        <x:v>41</x:v>
      </x:c>
      <x:c r="D685" t="n">
        <x:f>INDEX(Datos_47_semanas!$B$4:$B$50,C685)</x:f>
        <x:v>383</x:v>
      </x:c>
      <x:c r="E685" t="n">
        <x:f>MIN($B$4,D685)*$B$7+MAX($B$4-D685,0)*$B$9-$B$4*$B$8</x:f>
        <x:v>200</x:v>
      </x:c>
      <x:c r="F685" t="n">
        <x:f>MIN($B$5,D685)*$B$7+MAX($B$5-D685,0)*$B$9-$B$5*$B$8</x:f>
        <x:v>240</x:v>
      </x:c>
      <x:c r="G685" t="n">
        <x:f>MIN($B$6,D685)*$B$7+MAX($B$6-D685,0)*$B$9-$B$6*$B$8</x:f>
        <x:v>297.04999999999995</x:v>
      </x:c>
      <x:c r="H685" t="n">
        <x:f>MAX(D685-$B$5,0)</x:f>
        <x:v>83</x:v>
      </x:c>
      <x:c r="I685" t="n">
        <x:f>MAX($B$5-D685,0)</x:f>
        <x:v>0</x:v>
      </x:c>
    </x:row>
    <x:row r="686">
      <x:c r="A686" t="n">
        <x:f>674</x:f>
        <x:v>674</x:v>
      </x:c>
      <x:c r="B686" t="n">
        <x:f>RAND()</x:f>
        <x:v>0.4668409357471237</x:v>
      </x:c>
      <x:c r="C686" t="n">
        <x:f>MIN(47,INT(B686*47)+1)</x:f>
        <x:v>22</x:v>
      </x:c>
      <x:c r="D686" t="n">
        <x:f>INDEX(Datos_47_semanas!$B$4:$B$50,C686)</x:f>
        <x:v>171</x:v>
      </x:c>
      <x:c r="E686" t="n">
        <x:f>MIN($B$4,D686)*$B$7+MAX($B$4-D686,0)*$B$9-$B$4*$B$8</x:f>
        <x:v>93.34999999999997</x:v>
      </x:c>
      <x:c r="F686" t="n">
        <x:f>MIN($B$5,D686)*$B$7+MAX($B$5-D686,0)*$B$9-$B$5*$B$8</x:f>
        <x:v>65.84999999999997</x:v>
      </x:c>
      <x:c r="G686" t="n">
        <x:f>MIN($B$6,D686)*$B$7+MAX($B$6-D686,0)*$B$9-$B$6*$B$8</x:f>
        <x:v>10.849999999999966</x:v>
      </x:c>
      <x:c r="H686" t="n">
        <x:f>MAX(D686-$B$5,0)</x:f>
        <x:v>0</x:v>
      </x:c>
      <x:c r="I686" t="n">
        <x:f>MAX($B$5-D686,0)</x:f>
        <x:v>129</x:v>
      </x:c>
    </x:row>
    <x:row r="687">
      <x:c r="A687" t="n">
        <x:f>675</x:f>
        <x:v>675</x:v>
      </x:c>
      <x:c r="B687" t="n">
        <x:f>RAND()</x:f>
        <x:v>0.312277346380865</x:v>
      </x:c>
      <x:c r="C687" t="n">
        <x:f>MIN(47,INT(B687*47)+1)</x:f>
        <x:v>15</x:v>
      </x:c>
      <x:c r="D687" t="n">
        <x:f>INDEX(Datos_47_semanas!$B$4:$B$50,C687)</x:f>
        <x:v>275</x:v>
      </x:c>
      <x:c r="E687" t="n">
        <x:f>MIN($B$4,D687)*$B$7+MAX($B$4-D687,0)*$B$9-$B$4*$B$8</x:f>
        <x:v>200</x:v>
      </x:c>
      <x:c r="F687" t="n">
        <x:f>MIN($B$5,D687)*$B$7+MAX($B$5-D687,0)*$B$9-$B$5*$B$8</x:f>
        <x:v>206.25</x:v>
      </x:c>
      <x:c r="G687" t="n">
        <x:f>MIN($B$6,D687)*$B$7+MAX($B$6-D687,0)*$B$9-$B$6*$B$8</x:f>
        <x:v>151.25</x:v>
      </x:c>
      <x:c r="H687" t="n">
        <x:f>MAX(D687-$B$5,0)</x:f>
        <x:v>0</x:v>
      </x:c>
      <x:c r="I687" t="n">
        <x:f>MAX($B$5-D687,0)</x:f>
        <x:v>25</x:v>
      </x:c>
    </x:row>
    <x:row r="688">
      <x:c r="A688" t="n">
        <x:f>676</x:f>
        <x:v>676</x:v>
      </x:c>
      <x:c r="B688" t="n">
        <x:f>RAND()</x:f>
        <x:v>0.7756180631241345</x:v>
      </x:c>
      <x:c r="C688" t="n">
        <x:f>MIN(47,INT(B688*47)+1)</x:f>
        <x:v>37</x:v>
      </x:c>
      <x:c r="D688" t="n">
        <x:f>INDEX(Datos_47_semanas!$B$4:$B$50,C688)</x:f>
        <x:v>299</x:v>
      </x:c>
      <x:c r="E688" t="n">
        <x:f>MIN($B$4,D688)*$B$7+MAX($B$4-D688,0)*$B$9-$B$4*$B$8</x:f>
        <x:v>200</x:v>
      </x:c>
      <x:c r="F688" t="n">
        <x:f>MIN($B$5,D688)*$B$7+MAX($B$5-D688,0)*$B$9-$B$5*$B$8</x:f>
        <x:v>238.64999999999998</x:v>
      </x:c>
      <x:c r="G688" t="n">
        <x:f>MIN($B$6,D688)*$B$7+MAX($B$6-D688,0)*$B$9-$B$6*$B$8</x:f>
        <x:v>183.64999999999998</x:v>
      </x:c>
      <x:c r="H688" t="n">
        <x:f>MAX(D688-$B$5,0)</x:f>
        <x:v>0</x:v>
      </x:c>
      <x:c r="I688" t="n">
        <x:f>MAX($B$5-D688,0)</x:f>
        <x:v>1</x:v>
      </x:c>
    </x:row>
    <x:row r="689">
      <x:c r="A689" t="n">
        <x:f>677</x:f>
        <x:v>677</x:v>
      </x:c>
      <x:c r="B689" t="n">
        <x:f>RAND()</x:f>
        <x:v>0.14474965276077945</x:v>
      </x:c>
      <x:c r="C689" t="n">
        <x:f>MIN(47,INT(B689*47)+1)</x:f>
        <x:v>7</x:v>
      </x:c>
      <x:c r="D689" t="n">
        <x:f>INDEX(Datos_47_semanas!$B$4:$B$50,C689)</x:f>
        <x:v>249</x:v>
      </x:c>
      <x:c r="E689" t="n">
        <x:f>MIN($B$4,D689)*$B$7+MAX($B$4-D689,0)*$B$9-$B$4*$B$8</x:f>
        <x:v>198.64999999999998</x:v>
      </x:c>
      <x:c r="F689" t="n">
        <x:f>MIN($B$5,D689)*$B$7+MAX($B$5-D689,0)*$B$9-$B$5*$B$8</x:f>
        <x:v>171.14999999999998</x:v>
      </x:c>
      <x:c r="G689" t="n">
        <x:f>MIN($B$6,D689)*$B$7+MAX($B$6-D689,0)*$B$9-$B$6*$B$8</x:f>
        <x:v>116.14999999999998</x:v>
      </x:c>
      <x:c r="H689" t="n">
        <x:f>MAX(D689-$B$5,0)</x:f>
        <x:v>0</x:v>
      </x:c>
      <x:c r="I689" t="n">
        <x:f>MAX($B$5-D689,0)</x:f>
        <x:v>51</x:v>
      </x:c>
    </x:row>
    <x:row r="690">
      <x:c r="A690" t="n">
        <x:f>678</x:f>
        <x:v>678</x:v>
      </x:c>
      <x:c r="B690" t="n">
        <x:f>RAND()</x:f>
        <x:v>0.45848245278782884</x:v>
      </x:c>
      <x:c r="C690" t="n">
        <x:f>MIN(47,INT(B690*47)+1)</x:f>
        <x:v>22</x:v>
      </x:c>
      <x:c r="D690" t="n">
        <x:f>INDEX(Datos_47_semanas!$B$4:$B$50,C690)</x:f>
        <x:v>171</x:v>
      </x:c>
      <x:c r="E690" t="n">
        <x:f>MIN($B$4,D690)*$B$7+MAX($B$4-D690,0)*$B$9-$B$4*$B$8</x:f>
        <x:v>93.34999999999997</x:v>
      </x:c>
      <x:c r="F690" t="n">
        <x:f>MIN($B$5,D690)*$B$7+MAX($B$5-D690,0)*$B$9-$B$5*$B$8</x:f>
        <x:v>65.84999999999997</x:v>
      </x:c>
      <x:c r="G690" t="n">
        <x:f>MIN($B$6,D690)*$B$7+MAX($B$6-D690,0)*$B$9-$B$6*$B$8</x:f>
        <x:v>10.849999999999966</x:v>
      </x:c>
      <x:c r="H690" t="n">
        <x:f>MAX(D690-$B$5,0)</x:f>
        <x:v>0</x:v>
      </x:c>
      <x:c r="I690" t="n">
        <x:f>MAX($B$5-D690,0)</x:f>
        <x:v>129</x:v>
      </x:c>
    </x:row>
    <x:row r="691">
      <x:c r="A691" t="n">
        <x:f>679</x:f>
        <x:v>679</x:v>
      </x:c>
      <x:c r="B691" t="n">
        <x:f>RAND()</x:f>
        <x:v>0.06239568286129571</x:v>
      </x:c>
      <x:c r="C691" t="n">
        <x:f>MIN(47,INT(B691*47)+1)</x:f>
        <x:v>3</x:v>
      </x:c>
      <x:c r="D691" t="n">
        <x:f>INDEX(Datos_47_semanas!$B$4:$B$50,C691)</x:f>
        <x:v>128</x:v>
      </x:c>
      <x:c r="E691" t="n">
        <x:f>MIN($B$4,D691)*$B$7+MAX($B$4-D691,0)*$B$9-$B$4*$B$8</x:f>
        <x:v>35.29999999999998</x:v>
      </x:c>
      <x:c r="F691" t="n">
        <x:f>MIN($B$5,D691)*$B$7+MAX($B$5-D691,0)*$B$9-$B$5*$B$8</x:f>
        <x:v>7.800000000000011</x:v>
      </x:c>
      <x:c r="G691" t="n">
        <x:f>MIN($B$6,D691)*$B$7+MAX($B$6-D691,0)*$B$9-$B$6*$B$8</x:f>
        <x:v>-47.200000000000045</x:v>
      </x:c>
      <x:c r="H691" t="n">
        <x:f>MAX(D691-$B$5,0)</x:f>
        <x:v>0</x:v>
      </x:c>
      <x:c r="I691" t="n">
        <x:f>MAX($B$5-D691,0)</x:f>
        <x:v>172</x:v>
      </x:c>
    </x:row>
    <x:row r="692">
      <x:c r="A692" t="n">
        <x:f>680</x:f>
        <x:v>680</x:v>
      </x:c>
      <x:c r="B692" t="n">
        <x:f>RAND()</x:f>
        <x:v>0.37383628641156597</x:v>
      </x:c>
      <x:c r="C692" t="n">
        <x:f>MIN(47,INT(B692*47)+1)</x:f>
        <x:v>18</x:v>
      </x:c>
      <x:c r="D692" t="n">
        <x:f>INDEX(Datos_47_semanas!$B$4:$B$50,C692)</x:f>
        <x:v>219</x:v>
      </x:c>
      <x:c r="E692" t="n">
        <x:f>MIN($B$4,D692)*$B$7+MAX($B$4-D692,0)*$B$9-$B$4*$B$8</x:f>
        <x:v>158.14999999999998</x:v>
      </x:c>
      <x:c r="F692" t="n">
        <x:f>MIN($B$5,D692)*$B$7+MAX($B$5-D692,0)*$B$9-$B$5*$B$8</x:f>
        <x:v>130.64999999999998</x:v>
      </x:c>
      <x:c r="G692" t="n">
        <x:f>MIN($B$6,D692)*$B$7+MAX($B$6-D692,0)*$B$9-$B$6*$B$8</x:f>
        <x:v>75.64999999999998</x:v>
      </x:c>
      <x:c r="H692" t="n">
        <x:f>MAX(D692-$B$5,0)</x:f>
        <x:v>0</x:v>
      </x:c>
      <x:c r="I692" t="n">
        <x:f>MAX($B$5-D692,0)</x:f>
        <x:v>81</x:v>
      </x:c>
    </x:row>
    <x:row r="693">
      <x:c r="A693" t="n">
        <x:f>681</x:f>
        <x:v>681</x:v>
      </x:c>
      <x:c r="B693" t="n">
        <x:f>RAND()</x:f>
        <x:v>0.3793799852077685</x:v>
      </x:c>
      <x:c r="C693" t="n">
        <x:f>MIN(47,INT(B693*47)+1)</x:f>
        <x:v>18</x:v>
      </x:c>
      <x:c r="D693" t="n">
        <x:f>INDEX(Datos_47_semanas!$B$4:$B$50,C693)</x:f>
        <x:v>219</x:v>
      </x:c>
      <x:c r="E693" t="n">
        <x:f>MIN($B$4,D693)*$B$7+MAX($B$4-D693,0)*$B$9-$B$4*$B$8</x:f>
        <x:v>158.14999999999998</x:v>
      </x:c>
      <x:c r="F693" t="n">
        <x:f>MIN($B$5,D693)*$B$7+MAX($B$5-D693,0)*$B$9-$B$5*$B$8</x:f>
        <x:v>130.64999999999998</x:v>
      </x:c>
      <x:c r="G693" t="n">
        <x:f>MIN($B$6,D693)*$B$7+MAX($B$6-D693,0)*$B$9-$B$6*$B$8</x:f>
        <x:v>75.64999999999998</x:v>
      </x:c>
      <x:c r="H693" t="n">
        <x:f>MAX(D693-$B$5,0)</x:f>
        <x:v>0</x:v>
      </x:c>
      <x:c r="I693" t="n">
        <x:f>MAX($B$5-D693,0)</x:f>
        <x:v>81</x:v>
      </x:c>
    </x:row>
    <x:row r="694">
      <x:c r="A694" t="n">
        <x:f>682</x:f>
        <x:v>682</x:v>
      </x:c>
      <x:c r="B694" t="n">
        <x:f>RAND()</x:f>
        <x:v>0.6922384870870465</x:v>
      </x:c>
      <x:c r="C694" t="n">
        <x:f>MIN(47,INT(B694*47)+1)</x:f>
        <x:v>33</x:v>
      </x:c>
      <x:c r="D694" t="n">
        <x:f>INDEX(Datos_47_semanas!$B$4:$B$50,C694)</x:f>
        <x:v>373</x:v>
      </x:c>
      <x:c r="E694" t="n">
        <x:f>MIN($B$4,D694)*$B$7+MAX($B$4-D694,0)*$B$9-$B$4*$B$8</x:f>
        <x:v>200</x:v>
      </x:c>
      <x:c r="F694" t="n">
        <x:f>MIN($B$5,D694)*$B$7+MAX($B$5-D694,0)*$B$9-$B$5*$B$8</x:f>
        <x:v>240</x:v>
      </x:c>
      <x:c r="G694" t="n">
        <x:f>MIN($B$6,D694)*$B$7+MAX($B$6-D694,0)*$B$9-$B$6*$B$8</x:f>
        <x:v>283.54999999999995</x:v>
      </x:c>
      <x:c r="H694" t="n">
        <x:f>MAX(D694-$B$5,0)</x:f>
        <x:v>73</x:v>
      </x:c>
      <x:c r="I694" t="n">
        <x:f>MAX($B$5-D694,0)</x:f>
        <x:v>0</x:v>
      </x:c>
    </x:row>
    <x:row r="695">
      <x:c r="A695" t="n">
        <x:f>683</x:f>
        <x:v>683</x:v>
      </x:c>
      <x:c r="B695" t="n">
        <x:f>RAND()</x:f>
        <x:v>0.40841499076994403</x:v>
      </x:c>
      <x:c r="C695" t="n">
        <x:f>MIN(47,INT(B695*47)+1)</x:f>
        <x:v>20</x:v>
      </x:c>
      <x:c r="D695" t="n">
        <x:f>INDEX(Datos_47_semanas!$B$4:$B$50,C695)</x:f>
        <x:v>335</x:v>
      </x:c>
      <x:c r="E695" t="n">
        <x:f>MIN($B$4,D695)*$B$7+MAX($B$4-D695,0)*$B$9-$B$4*$B$8</x:f>
        <x:v>200</x:v>
      </x:c>
      <x:c r="F695" t="n">
        <x:f>MIN($B$5,D695)*$B$7+MAX($B$5-D695,0)*$B$9-$B$5*$B$8</x:f>
        <x:v>240</x:v>
      </x:c>
      <x:c r="G695" t="n">
        <x:f>MIN($B$6,D695)*$B$7+MAX($B$6-D695,0)*$B$9-$B$6*$B$8</x:f>
        <x:v>232.25</x:v>
      </x:c>
      <x:c r="H695" t="n">
        <x:f>MAX(D695-$B$5,0)</x:f>
        <x:v>35</x:v>
      </x:c>
      <x:c r="I695" t="n">
        <x:f>MAX($B$5-D695,0)</x:f>
        <x:v>0</x:v>
      </x:c>
    </x:row>
    <x:row r="696">
      <x:c r="A696" t="n">
        <x:f>684</x:f>
        <x:v>684</x:v>
      </x:c>
      <x:c r="B696" t="n">
        <x:f>RAND()</x:f>
        <x:v>0.02773908812555259</x:v>
      </x:c>
      <x:c r="C696" t="n">
        <x:f>MIN(47,INT(B696*47)+1)</x:f>
        <x:v>2</x:v>
      </x:c>
      <x:c r="D696" t="n">
        <x:f>INDEX(Datos_47_semanas!$B$4:$B$50,C696)</x:f>
        <x:v>282</x:v>
      </x:c>
      <x:c r="E696" t="n">
        <x:f>MIN($B$4,D696)*$B$7+MAX($B$4-D696,0)*$B$9-$B$4*$B$8</x:f>
        <x:v>200</x:v>
      </x:c>
      <x:c r="F696" t="n">
        <x:f>MIN($B$5,D696)*$B$7+MAX($B$5-D696,0)*$B$9-$B$5*$B$8</x:f>
        <x:v>215.69999999999993</x:v>
      </x:c>
      <x:c r="G696" t="n">
        <x:f>MIN($B$6,D696)*$B$7+MAX($B$6-D696,0)*$B$9-$B$6*$B$8</x:f>
        <x:v>160.69999999999993</x:v>
      </x:c>
      <x:c r="H696" t="n">
        <x:f>MAX(D696-$B$5,0)</x:f>
        <x:v>0</x:v>
      </x:c>
      <x:c r="I696" t="n">
        <x:f>MAX($B$5-D696,0)</x:f>
        <x:v>18</x:v>
      </x:c>
    </x:row>
    <x:row r="697">
      <x:c r="A697" t="n">
        <x:f>685</x:f>
        <x:v>685</x:v>
      </x:c>
      <x:c r="B697" t="n">
        <x:f>RAND()</x:f>
        <x:v>0.07451597397614584</x:v>
      </x:c>
      <x:c r="C697" t="n">
        <x:f>MIN(47,INT(B697*47)+1)</x:f>
        <x:v>4</x:v>
      </x:c>
      <x:c r="D697" t="n">
        <x:f>INDEX(Datos_47_semanas!$B$4:$B$50,C697)</x:f>
        <x:v>161</x:v>
      </x:c>
      <x:c r="E697" t="n">
        <x:f>MIN($B$4,D697)*$B$7+MAX($B$4-D697,0)*$B$9-$B$4*$B$8</x:f>
        <x:v>79.84999999999997</x:v>
      </x:c>
      <x:c r="F697" t="n">
        <x:f>MIN($B$5,D697)*$B$7+MAX($B$5-D697,0)*$B$9-$B$5*$B$8</x:f>
        <x:v>52.349999999999966</x:v>
      </x:c>
      <x:c r="G697" t="n">
        <x:f>MIN($B$6,D697)*$B$7+MAX($B$6-D697,0)*$B$9-$B$6*$B$8</x:f>
        <x:v>-2.650000000000034</x:v>
      </x:c>
      <x:c r="H697" t="n">
        <x:f>MAX(D697-$B$5,0)</x:f>
        <x:v>0</x:v>
      </x:c>
      <x:c r="I697" t="n">
        <x:f>MAX($B$5-D697,0)</x:f>
        <x:v>139</x:v>
      </x:c>
    </x:row>
    <x:row r="698">
      <x:c r="A698" t="n">
        <x:f>686</x:f>
        <x:v>686</x:v>
      </x:c>
      <x:c r="B698" t="n">
        <x:f>RAND()</x:f>
        <x:v>0.729493301846829</x:v>
      </x:c>
      <x:c r="C698" t="n">
        <x:f>MIN(47,INT(B698*47)+1)</x:f>
        <x:v>35</x:v>
      </x:c>
      <x:c r="D698" t="n">
        <x:f>INDEX(Datos_47_semanas!$B$4:$B$50,C698)</x:f>
        <x:v>192</x:v>
      </x:c>
      <x:c r="E698" t="n">
        <x:f>MIN($B$4,D698)*$B$7+MAX($B$4-D698,0)*$B$9-$B$4*$B$8</x:f>
        <x:v>121.69999999999993</x:v>
      </x:c>
      <x:c r="F698" t="n">
        <x:f>MIN($B$5,D698)*$B$7+MAX($B$5-D698,0)*$B$9-$B$5*$B$8</x:f>
        <x:v>94.19999999999993</x:v>
      </x:c>
      <x:c r="G698" t="n">
        <x:f>MIN($B$6,D698)*$B$7+MAX($B$6-D698,0)*$B$9-$B$6*$B$8</x:f>
        <x:v>39.19999999999993</x:v>
      </x:c>
      <x:c r="H698" t="n">
        <x:f>MAX(D698-$B$5,0)</x:f>
        <x:v>0</x:v>
      </x:c>
      <x:c r="I698" t="n">
        <x:f>MAX($B$5-D698,0)</x:f>
        <x:v>108</x:v>
      </x:c>
    </x:row>
    <x:row r="699">
      <x:c r="A699" t="n">
        <x:f>687</x:f>
        <x:v>687</x:v>
      </x:c>
      <x:c r="B699" t="n">
        <x:f>RAND()</x:f>
        <x:v>0.25550974690288675</x:v>
      </x:c>
      <x:c r="C699" t="n">
        <x:f>MIN(47,INT(B699*47)+1)</x:f>
        <x:v>13</x:v>
      </x:c>
      <x:c r="D699" t="n">
        <x:f>INDEX(Datos_47_semanas!$B$4:$B$50,C699)</x:f>
        <x:v>517</x:v>
      </x:c>
      <x:c r="E699" t="n">
        <x:f>MIN($B$4,D699)*$B$7+MAX($B$4-D699,0)*$B$9-$B$4*$B$8</x:f>
        <x:v>200</x:v>
      </x:c>
      <x:c r="F699" t="n">
        <x:f>MIN($B$5,D699)*$B$7+MAX($B$5-D699,0)*$B$9-$B$5*$B$8</x:f>
        <x:v>240</x:v>
      </x:c>
      <x:c r="G699" t="n">
        <x:f>MIN($B$6,D699)*$B$7+MAX($B$6-D699,0)*$B$9-$B$6*$B$8</x:f>
        <x:v>320</x:v>
      </x:c>
      <x:c r="H699" t="n">
        <x:f>MAX(D699-$B$5,0)</x:f>
        <x:v>217</x:v>
      </x:c>
      <x:c r="I699" t="n">
        <x:f>MAX($B$5-D699,0)</x:f>
        <x:v>0</x:v>
      </x:c>
    </x:row>
    <x:row r="700">
      <x:c r="A700" t="n">
        <x:f>688</x:f>
        <x:v>688</x:v>
      </x:c>
      <x:c r="B700" t="n">
        <x:f>RAND()</x:f>
        <x:v>0.899143292094469</x:v>
      </x:c>
      <x:c r="C700" t="n">
        <x:f>MIN(47,INT(B700*47)+1)</x:f>
        <x:v>43</x:v>
      </x:c>
      <x:c r="D700" t="n">
        <x:f>INDEX(Datos_47_semanas!$B$4:$B$50,C700)</x:f>
        <x:v>234</x:v>
      </x:c>
      <x:c r="E700" t="n">
        <x:f>MIN($B$4,D700)*$B$7+MAX($B$4-D700,0)*$B$9-$B$4*$B$8</x:f>
        <x:v>178.39999999999998</x:v>
      </x:c>
      <x:c r="F700" t="n">
        <x:f>MIN($B$5,D700)*$B$7+MAX($B$5-D700,0)*$B$9-$B$5*$B$8</x:f>
        <x:v>150.89999999999998</x:v>
      </x:c>
      <x:c r="G700" t="n">
        <x:f>MIN($B$6,D700)*$B$7+MAX($B$6-D700,0)*$B$9-$B$6*$B$8</x:f>
        <x:v>95.89999999999998</x:v>
      </x:c>
      <x:c r="H700" t="n">
        <x:f>MAX(D700-$B$5,0)</x:f>
        <x:v>0</x:v>
      </x:c>
      <x:c r="I700" t="n">
        <x:f>MAX($B$5-D700,0)</x:f>
        <x:v>66</x:v>
      </x:c>
    </x:row>
    <x:row r="701">
      <x:c r="A701" t="n">
        <x:f>689</x:f>
        <x:v>689</x:v>
      </x:c>
      <x:c r="B701" t="n">
        <x:f>RAND()</x:f>
        <x:v>0.7858781101525805</x:v>
      </x:c>
      <x:c r="C701" t="n">
        <x:f>MIN(47,INT(B701*47)+1)</x:f>
        <x:v>37</x:v>
      </x:c>
      <x:c r="D701" t="n">
        <x:f>INDEX(Datos_47_semanas!$B$4:$B$50,C701)</x:f>
        <x:v>299</x:v>
      </x:c>
      <x:c r="E701" t="n">
        <x:f>MIN($B$4,D701)*$B$7+MAX($B$4-D701,0)*$B$9-$B$4*$B$8</x:f>
        <x:v>200</x:v>
      </x:c>
      <x:c r="F701" t="n">
        <x:f>MIN($B$5,D701)*$B$7+MAX($B$5-D701,0)*$B$9-$B$5*$B$8</x:f>
        <x:v>238.64999999999998</x:v>
      </x:c>
      <x:c r="G701" t="n">
        <x:f>MIN($B$6,D701)*$B$7+MAX($B$6-D701,0)*$B$9-$B$6*$B$8</x:f>
        <x:v>183.64999999999998</x:v>
      </x:c>
      <x:c r="H701" t="n">
        <x:f>MAX(D701-$B$5,0)</x:f>
        <x:v>0</x:v>
      </x:c>
      <x:c r="I701" t="n">
        <x:f>MAX($B$5-D701,0)</x:f>
        <x:v>1</x:v>
      </x:c>
    </x:row>
    <x:row r="702">
      <x:c r="A702" t="n">
        <x:f>690</x:f>
        <x:v>690</x:v>
      </x:c>
      <x:c r="B702" t="n">
        <x:f>RAND()</x:f>
        <x:v>0.29758613200233375</x:v>
      </x:c>
      <x:c r="C702" t="n">
        <x:f>MIN(47,INT(B702*47)+1)</x:f>
        <x:v>14</x:v>
      </x:c>
      <x:c r="D702" t="n">
        <x:f>INDEX(Datos_47_semanas!$B$4:$B$50,C702)</x:f>
        <x:v>187</x:v>
      </x:c>
      <x:c r="E702" t="n">
        <x:f>MIN($B$4,D702)*$B$7+MAX($B$4-D702,0)*$B$9-$B$4*$B$8</x:f>
        <x:v>114.94999999999999</x:v>
      </x:c>
      <x:c r="F702" t="n">
        <x:f>MIN($B$5,D702)*$B$7+MAX($B$5-D702,0)*$B$9-$B$5*$B$8</x:f>
        <x:v>87.44999999999999</x:v>
      </x:c>
      <x:c r="G702" t="n">
        <x:f>MIN($B$6,D702)*$B$7+MAX($B$6-D702,0)*$B$9-$B$6*$B$8</x:f>
        <x:v>32.44999999999999</x:v>
      </x:c>
      <x:c r="H702" t="n">
        <x:f>MAX(D702-$B$5,0)</x:f>
        <x:v>0</x:v>
      </x:c>
      <x:c r="I702" t="n">
        <x:f>MAX($B$5-D702,0)</x:f>
        <x:v>113</x:v>
      </x:c>
    </x:row>
    <x:row r="703">
      <x:c r="A703" t="n">
        <x:f>691</x:f>
        <x:v>691</x:v>
      </x:c>
      <x:c r="B703" t="n">
        <x:f>RAND()</x:f>
        <x:v>0.6229803527378819</x:v>
      </x:c>
      <x:c r="C703" t="n">
        <x:f>MIN(47,INT(B703*47)+1)</x:f>
        <x:v>30</x:v>
      </x:c>
      <x:c r="D703" t="n">
        <x:f>INDEX(Datos_47_semanas!$B$4:$B$50,C703)</x:f>
        <x:v>345</x:v>
      </x:c>
      <x:c r="E703" t="n">
        <x:f>MIN($B$4,D703)*$B$7+MAX($B$4-D703,0)*$B$9-$B$4*$B$8</x:f>
        <x:v>200</x:v>
      </x:c>
      <x:c r="F703" t="n">
        <x:f>MIN($B$5,D703)*$B$7+MAX($B$5-D703,0)*$B$9-$B$5*$B$8</x:f>
        <x:v>240</x:v>
      </x:c>
      <x:c r="G703" t="n">
        <x:f>MIN($B$6,D703)*$B$7+MAX($B$6-D703,0)*$B$9-$B$6*$B$8</x:f>
        <x:v>245.75</x:v>
      </x:c>
      <x:c r="H703" t="n">
        <x:f>MAX(D703-$B$5,0)</x:f>
        <x:v>45</x:v>
      </x:c>
      <x:c r="I703" t="n">
        <x:f>MAX($B$5-D703,0)</x:f>
        <x:v>0</x:v>
      </x:c>
    </x:row>
    <x:row r="704">
      <x:c r="A704" t="n">
        <x:f>692</x:f>
        <x:v>692</x:v>
      </x:c>
      <x:c r="B704" t="n">
        <x:f>RAND()</x:f>
        <x:v>0.9560508258354693</x:v>
      </x:c>
      <x:c r="C704" t="n">
        <x:f>MIN(47,INT(B704*47)+1)</x:f>
        <x:v>45</x:v>
      </x:c>
      <x:c r="D704" t="n">
        <x:f>INDEX(Datos_47_semanas!$B$4:$B$50,C704)</x:f>
        <x:v>526</x:v>
      </x:c>
      <x:c r="E704" t="n">
        <x:f>MIN($B$4,D704)*$B$7+MAX($B$4-D704,0)*$B$9-$B$4*$B$8</x:f>
        <x:v>200</x:v>
      </x:c>
      <x:c r="F704" t="n">
        <x:f>MIN($B$5,D704)*$B$7+MAX($B$5-D704,0)*$B$9-$B$5*$B$8</x:f>
        <x:v>240</x:v>
      </x:c>
      <x:c r="G704" t="n">
        <x:f>MIN($B$6,D704)*$B$7+MAX($B$6-D704,0)*$B$9-$B$6*$B$8</x:f>
        <x:v>320</x:v>
      </x:c>
      <x:c r="H704" t="n">
        <x:f>MAX(D704-$B$5,0)</x:f>
        <x:v>226</x:v>
      </x:c>
      <x:c r="I704" t="n">
        <x:f>MAX($B$5-D704,0)</x:f>
        <x:v>0</x:v>
      </x:c>
    </x:row>
    <x:row r="705">
      <x:c r="A705" t="n">
        <x:f>693</x:f>
        <x:v>693</x:v>
      </x:c>
      <x:c r="B705" t="n">
        <x:f>RAND()</x:f>
        <x:v>0.29865475406099007</x:v>
      </x:c>
      <x:c r="C705" t="n">
        <x:f>MIN(47,INT(B705*47)+1)</x:f>
        <x:v>15</x:v>
      </x:c>
      <x:c r="D705" t="n">
        <x:f>INDEX(Datos_47_semanas!$B$4:$B$50,C705)</x:f>
        <x:v>275</x:v>
      </x:c>
      <x:c r="E705" t="n">
        <x:f>MIN($B$4,D705)*$B$7+MAX($B$4-D705,0)*$B$9-$B$4*$B$8</x:f>
        <x:v>200</x:v>
      </x:c>
      <x:c r="F705" t="n">
        <x:f>MIN($B$5,D705)*$B$7+MAX($B$5-D705,0)*$B$9-$B$5*$B$8</x:f>
        <x:v>206.25</x:v>
      </x:c>
      <x:c r="G705" t="n">
        <x:f>MIN($B$6,D705)*$B$7+MAX($B$6-D705,0)*$B$9-$B$6*$B$8</x:f>
        <x:v>151.25</x:v>
      </x:c>
      <x:c r="H705" t="n">
        <x:f>MAX(D705-$B$5,0)</x:f>
        <x:v>0</x:v>
      </x:c>
      <x:c r="I705" t="n">
        <x:f>MAX($B$5-D705,0)</x:f>
        <x:v>25</x:v>
      </x:c>
    </x:row>
    <x:row r="706">
      <x:c r="A706" t="n">
        <x:f>694</x:f>
        <x:v>694</x:v>
      </x:c>
      <x:c r="B706" t="n">
        <x:f>RAND()</x:f>
        <x:v>0.6550904618777764</x:v>
      </x:c>
      <x:c r="C706" t="n">
        <x:f>MIN(47,INT(B706*47)+1)</x:f>
        <x:v>31</x:v>
      </x:c>
      <x:c r="D706" t="n">
        <x:f>INDEX(Datos_47_semanas!$B$4:$B$50,C706)</x:f>
        <x:v>583</x:v>
      </x:c>
      <x:c r="E706" t="n">
        <x:f>MIN($B$4,D706)*$B$7+MAX($B$4-D706,0)*$B$9-$B$4*$B$8</x:f>
        <x:v>200</x:v>
      </x:c>
      <x:c r="F706" t="n">
        <x:f>MIN($B$5,D706)*$B$7+MAX($B$5-D706,0)*$B$9-$B$5*$B$8</x:f>
        <x:v>240</x:v>
      </x:c>
      <x:c r="G706" t="n">
        <x:f>MIN($B$6,D706)*$B$7+MAX($B$6-D706,0)*$B$9-$B$6*$B$8</x:f>
        <x:v>320</x:v>
      </x:c>
      <x:c r="H706" t="n">
        <x:f>MAX(D706-$B$5,0)</x:f>
        <x:v>283</x:v>
      </x:c>
      <x:c r="I706" t="n">
        <x:f>MAX($B$5-D706,0)</x:f>
        <x:v>0</x:v>
      </x:c>
    </x:row>
    <x:row r="707">
      <x:c r="A707" t="n">
        <x:f>695</x:f>
        <x:v>695</x:v>
      </x:c>
      <x:c r="B707" t="n">
        <x:f>RAND()</x:f>
        <x:v>0.2003692063289111</x:v>
      </x:c>
      <x:c r="C707" t="n">
        <x:f>MIN(47,INT(B707*47)+1)</x:f>
        <x:v>10</x:v>
      </x:c>
      <x:c r="D707" t="n">
        <x:f>INDEX(Datos_47_semanas!$B$4:$B$50,C707)</x:f>
        <x:v>98</x:v>
      </x:c>
      <x:c r="E707" t="n">
        <x:f>MIN($B$4,D707)*$B$7+MAX($B$4-D707,0)*$B$9-$B$4*$B$8</x:f>
        <x:v>-5.200000000000017</x:v>
      </x:c>
      <x:c r="F707" t="n">
        <x:f>MIN($B$5,D707)*$B$7+MAX($B$5-D707,0)*$B$9-$B$5*$B$8</x:f>
        <x:v>-32.70000000000002</x:v>
      </x:c>
      <x:c r="G707" t="n">
        <x:f>MIN($B$6,D707)*$B$7+MAX($B$6-D707,0)*$B$9-$B$6*$B$8</x:f>
        <x:v>-87.70000000000002</x:v>
      </x:c>
      <x:c r="H707" t="n">
        <x:f>MAX(D707-$B$5,0)</x:f>
        <x:v>0</x:v>
      </x:c>
      <x:c r="I707" t="n">
        <x:f>MAX($B$5-D707,0)</x:f>
        <x:v>202</x:v>
      </x:c>
    </x:row>
    <x:row r="708">
      <x:c r="A708" t="n">
        <x:f>696</x:f>
        <x:v>696</x:v>
      </x:c>
      <x:c r="B708" t="n">
        <x:f>RAND()</x:f>
        <x:v>0.862769094617411</x:v>
      </x:c>
      <x:c r="C708" t="n">
        <x:f>MIN(47,INT(B708*47)+1)</x:f>
        <x:v>41</x:v>
      </x:c>
      <x:c r="D708" t="n">
        <x:f>INDEX(Datos_47_semanas!$B$4:$B$50,C708)</x:f>
        <x:v>383</x:v>
      </x:c>
      <x:c r="E708" t="n">
        <x:f>MIN($B$4,D708)*$B$7+MAX($B$4-D708,0)*$B$9-$B$4*$B$8</x:f>
        <x:v>200</x:v>
      </x:c>
      <x:c r="F708" t="n">
        <x:f>MIN($B$5,D708)*$B$7+MAX($B$5-D708,0)*$B$9-$B$5*$B$8</x:f>
        <x:v>240</x:v>
      </x:c>
      <x:c r="G708" t="n">
        <x:f>MIN($B$6,D708)*$B$7+MAX($B$6-D708,0)*$B$9-$B$6*$B$8</x:f>
        <x:v>297.04999999999995</x:v>
      </x:c>
      <x:c r="H708" t="n">
        <x:f>MAX(D708-$B$5,0)</x:f>
        <x:v>83</x:v>
      </x:c>
      <x:c r="I708" t="n">
        <x:f>MAX($B$5-D708,0)</x:f>
        <x:v>0</x:v>
      </x:c>
    </x:row>
    <x:row r="709">
      <x:c r="A709" t="n">
        <x:f>697</x:f>
        <x:v>697</x:v>
      </x:c>
      <x:c r="B709" t="n">
        <x:f>RAND()</x:f>
        <x:v>0.36397655479131874</x:v>
      </x:c>
      <x:c r="C709" t="n">
        <x:f>MIN(47,INT(B709*47)+1)</x:f>
        <x:v>18</x:v>
      </x:c>
      <x:c r="D709" t="n">
        <x:f>INDEX(Datos_47_semanas!$B$4:$B$50,C709)</x:f>
        <x:v>219</x:v>
      </x:c>
      <x:c r="E709" t="n">
        <x:f>MIN($B$4,D709)*$B$7+MAX($B$4-D709,0)*$B$9-$B$4*$B$8</x:f>
        <x:v>158.14999999999998</x:v>
      </x:c>
      <x:c r="F709" t="n">
        <x:f>MIN($B$5,D709)*$B$7+MAX($B$5-D709,0)*$B$9-$B$5*$B$8</x:f>
        <x:v>130.64999999999998</x:v>
      </x:c>
      <x:c r="G709" t="n">
        <x:f>MIN($B$6,D709)*$B$7+MAX($B$6-D709,0)*$B$9-$B$6*$B$8</x:f>
        <x:v>75.64999999999998</x:v>
      </x:c>
      <x:c r="H709" t="n">
        <x:f>MAX(D709-$B$5,0)</x:f>
        <x:v>0</x:v>
      </x:c>
      <x:c r="I709" t="n">
        <x:f>MAX($B$5-D709,0)</x:f>
        <x:v>81</x:v>
      </x:c>
    </x:row>
    <x:row r="710">
      <x:c r="A710" t="n">
        <x:f>698</x:f>
        <x:v>698</x:v>
      </x:c>
      <x:c r="B710" t="n">
        <x:f>RAND()</x:f>
        <x:v>0.17980590938624952</x:v>
      </x:c>
      <x:c r="C710" t="n">
        <x:f>MIN(47,INT(B710*47)+1)</x:f>
        <x:v>9</x:v>
      </x:c>
      <x:c r="D710" t="n">
        <x:f>INDEX(Datos_47_semanas!$B$4:$B$50,C710)</x:f>
        <x:v>155</x:v>
      </x:c>
      <x:c r="E710" t="n">
        <x:f>MIN($B$4,D710)*$B$7+MAX($B$4-D710,0)*$B$9-$B$4*$B$8</x:f>
        <x:v>71.75</x:v>
      </x:c>
      <x:c r="F710" t="n">
        <x:f>MIN($B$5,D710)*$B$7+MAX($B$5-D710,0)*$B$9-$B$5*$B$8</x:f>
        <x:v>44.25</x:v>
      </x:c>
      <x:c r="G710" t="n">
        <x:f>MIN($B$6,D710)*$B$7+MAX($B$6-D710,0)*$B$9-$B$6*$B$8</x:f>
        <x:v>-10.75</x:v>
      </x:c>
      <x:c r="H710" t="n">
        <x:f>MAX(D710-$B$5,0)</x:f>
        <x:v>0</x:v>
      </x:c>
      <x:c r="I710" t="n">
        <x:f>MAX($B$5-D710,0)</x:f>
        <x:v>145</x:v>
      </x:c>
    </x:row>
    <x:row r="711">
      <x:c r="A711" t="n">
        <x:f>699</x:f>
        <x:v>699</x:v>
      </x:c>
      <x:c r="B711" t="n">
        <x:f>RAND()</x:f>
        <x:v>0.2087633270051381</x:v>
      </x:c>
      <x:c r="C711" t="n">
        <x:f>MIN(47,INT(B711*47)+1)</x:f>
        <x:v>10</x:v>
      </x:c>
      <x:c r="D711" t="n">
        <x:f>INDEX(Datos_47_semanas!$B$4:$B$50,C711)</x:f>
        <x:v>98</x:v>
      </x:c>
      <x:c r="E711" t="n">
        <x:f>MIN($B$4,D711)*$B$7+MAX($B$4-D711,0)*$B$9-$B$4*$B$8</x:f>
        <x:v>-5.200000000000017</x:v>
      </x:c>
      <x:c r="F711" t="n">
        <x:f>MIN($B$5,D711)*$B$7+MAX($B$5-D711,0)*$B$9-$B$5*$B$8</x:f>
        <x:v>-32.70000000000002</x:v>
      </x:c>
      <x:c r="G711" t="n">
        <x:f>MIN($B$6,D711)*$B$7+MAX($B$6-D711,0)*$B$9-$B$6*$B$8</x:f>
        <x:v>-87.70000000000002</x:v>
      </x:c>
      <x:c r="H711" t="n">
        <x:f>MAX(D711-$B$5,0)</x:f>
        <x:v>0</x:v>
      </x:c>
      <x:c r="I711" t="n">
        <x:f>MAX($B$5-D711,0)</x:f>
        <x:v>202</x:v>
      </x:c>
    </x:row>
    <x:row r="712">
      <x:c r="A712" t="n">
        <x:f>700</x:f>
        <x:v>700</x:v>
      </x:c>
      <x:c r="B712" t="n">
        <x:f>RAND()</x:f>
        <x:v>0.29803035382357745</x:v>
      </x:c>
      <x:c r="C712" t="n">
        <x:f>MIN(47,INT(B712*47)+1)</x:f>
        <x:v>15</x:v>
      </x:c>
      <x:c r="D712" t="n">
        <x:f>INDEX(Datos_47_semanas!$B$4:$B$50,C712)</x:f>
        <x:v>275</x:v>
      </x:c>
      <x:c r="E712" t="n">
        <x:f>MIN($B$4,D712)*$B$7+MAX($B$4-D712,0)*$B$9-$B$4*$B$8</x:f>
        <x:v>200</x:v>
      </x:c>
      <x:c r="F712" t="n">
        <x:f>MIN($B$5,D712)*$B$7+MAX($B$5-D712,0)*$B$9-$B$5*$B$8</x:f>
        <x:v>206.25</x:v>
      </x:c>
      <x:c r="G712" t="n">
        <x:f>MIN($B$6,D712)*$B$7+MAX($B$6-D712,0)*$B$9-$B$6*$B$8</x:f>
        <x:v>151.25</x:v>
      </x:c>
      <x:c r="H712" t="n">
        <x:f>MAX(D712-$B$5,0)</x:f>
        <x:v>0</x:v>
      </x:c>
      <x:c r="I712" t="n">
        <x:f>MAX($B$5-D712,0)</x:f>
        <x:v>25</x:v>
      </x:c>
    </x:row>
    <x:row r="713">
      <x:c r="A713" t="n">
        <x:f>701</x:f>
        <x:v>701</x:v>
      </x:c>
      <x:c r="B713" t="n">
        <x:f>RAND()</x:f>
        <x:v>0.32095446414841</x:v>
      </x:c>
      <x:c r="C713" t="n">
        <x:f>MIN(47,INT(B713*47)+1)</x:f>
        <x:v>16</x:v>
      </x:c>
      <x:c r="D713" t="n">
        <x:f>INDEX(Datos_47_semanas!$B$4:$B$50,C713)</x:f>
        <x:v>318</x:v>
      </x:c>
      <x:c r="E713" t="n">
        <x:f>MIN($B$4,D713)*$B$7+MAX($B$4-D713,0)*$B$9-$B$4*$B$8</x:f>
        <x:v>200</x:v>
      </x:c>
      <x:c r="F713" t="n">
        <x:f>MIN($B$5,D713)*$B$7+MAX($B$5-D713,0)*$B$9-$B$5*$B$8</x:f>
        <x:v>240</x:v>
      </x:c>
      <x:c r="G713" t="n">
        <x:f>MIN($B$6,D713)*$B$7+MAX($B$6-D713,0)*$B$9-$B$6*$B$8</x:f>
        <x:v>209.29999999999995</x:v>
      </x:c>
      <x:c r="H713" t="n">
        <x:f>MAX(D713-$B$5,0)</x:f>
        <x:v>18</x:v>
      </x:c>
      <x:c r="I713" t="n">
        <x:f>MAX($B$5-D713,0)</x:f>
        <x:v>0</x:v>
      </x:c>
    </x:row>
    <x:row r="714">
      <x:c r="A714" t="n">
        <x:f>702</x:f>
        <x:v>702</x:v>
      </x:c>
      <x:c r="B714" t="n">
        <x:f>RAND()</x:f>
        <x:v>0.8640914539591155</x:v>
      </x:c>
      <x:c r="C714" t="n">
        <x:f>MIN(47,INT(B714*47)+1)</x:f>
        <x:v>41</x:v>
      </x:c>
      <x:c r="D714" t="n">
        <x:f>INDEX(Datos_47_semanas!$B$4:$B$50,C714)</x:f>
        <x:v>383</x:v>
      </x:c>
      <x:c r="E714" t="n">
        <x:f>MIN($B$4,D714)*$B$7+MAX($B$4-D714,0)*$B$9-$B$4*$B$8</x:f>
        <x:v>200</x:v>
      </x:c>
      <x:c r="F714" t="n">
        <x:f>MIN($B$5,D714)*$B$7+MAX($B$5-D714,0)*$B$9-$B$5*$B$8</x:f>
        <x:v>240</x:v>
      </x:c>
      <x:c r="G714" t="n">
        <x:f>MIN($B$6,D714)*$B$7+MAX($B$6-D714,0)*$B$9-$B$6*$B$8</x:f>
        <x:v>297.04999999999995</x:v>
      </x:c>
      <x:c r="H714" t="n">
        <x:f>MAX(D714-$B$5,0)</x:f>
        <x:v>83</x:v>
      </x:c>
      <x:c r="I714" t="n">
        <x:f>MAX($B$5-D714,0)</x:f>
        <x:v>0</x:v>
      </x:c>
    </x:row>
    <x:row r="715">
      <x:c r="A715" t="n">
        <x:f>703</x:f>
        <x:v>703</x:v>
      </x:c>
      <x:c r="B715" t="n">
        <x:f>RAND()</x:f>
        <x:v>0.05198232111901824</x:v>
      </x:c>
      <x:c r="C715" t="n">
        <x:f>MIN(47,INT(B715*47)+1)</x:f>
        <x:v>3</x:v>
      </x:c>
      <x:c r="D715" t="n">
        <x:f>INDEX(Datos_47_semanas!$B$4:$B$50,C715)</x:f>
        <x:v>128</x:v>
      </x:c>
      <x:c r="E715" t="n">
        <x:f>MIN($B$4,D715)*$B$7+MAX($B$4-D715,0)*$B$9-$B$4*$B$8</x:f>
        <x:v>35.29999999999998</x:v>
      </x:c>
      <x:c r="F715" t="n">
        <x:f>MIN($B$5,D715)*$B$7+MAX($B$5-D715,0)*$B$9-$B$5*$B$8</x:f>
        <x:v>7.800000000000011</x:v>
      </x:c>
      <x:c r="G715" t="n">
        <x:f>MIN($B$6,D715)*$B$7+MAX($B$6-D715,0)*$B$9-$B$6*$B$8</x:f>
        <x:v>-47.200000000000045</x:v>
      </x:c>
      <x:c r="H715" t="n">
        <x:f>MAX(D715-$B$5,0)</x:f>
        <x:v>0</x:v>
      </x:c>
      <x:c r="I715" t="n">
        <x:f>MAX($B$5-D715,0)</x:f>
        <x:v>172</x:v>
      </x:c>
    </x:row>
    <x:row r="716">
      <x:c r="A716" t="n">
        <x:f>704</x:f>
        <x:v>704</x:v>
      </x:c>
      <x:c r="B716" t="n">
        <x:f>RAND()</x:f>
        <x:v>0.5141487666611985</x:v>
      </x:c>
      <x:c r="C716" t="n">
        <x:f>MIN(47,INT(B716*47)+1)</x:f>
        <x:v>25</x:v>
      </x:c>
      <x:c r="D716" t="n">
        <x:f>INDEX(Datos_47_semanas!$B$4:$B$50,C716)</x:f>
        <x:v>218</x:v>
      </x:c>
      <x:c r="E716" t="n">
        <x:f>MIN($B$4,D716)*$B$7+MAX($B$4-D716,0)*$B$9-$B$4*$B$8</x:f>
        <x:v>156.8</x:v>
      </x:c>
      <x:c r="F716" t="n">
        <x:f>MIN($B$5,D716)*$B$7+MAX($B$5-D716,0)*$B$9-$B$5*$B$8</x:f>
        <x:v>129.3</x:v>
      </x:c>
      <x:c r="G716" t="n">
        <x:f>MIN($B$6,D716)*$B$7+MAX($B$6-D716,0)*$B$9-$B$6*$B$8</x:f>
        <x:v>74.30000000000001</x:v>
      </x:c>
      <x:c r="H716" t="n">
        <x:f>MAX(D716-$B$5,0)</x:f>
        <x:v>0</x:v>
      </x:c>
      <x:c r="I716" t="n">
        <x:f>MAX($B$5-D716,0)</x:f>
        <x:v>82</x:v>
      </x:c>
    </x:row>
    <x:row r="717">
      <x:c r="A717" t="n">
        <x:f>705</x:f>
        <x:v>705</x:v>
      </x:c>
      <x:c r="B717" t="n">
        <x:f>RAND()</x:f>
        <x:v>0.30500466490597367</x:v>
      </x:c>
      <x:c r="C717" t="n">
        <x:f>MIN(47,INT(B717*47)+1)</x:f>
        <x:v>15</x:v>
      </x:c>
      <x:c r="D717" t="n">
        <x:f>INDEX(Datos_47_semanas!$B$4:$B$50,C717)</x:f>
        <x:v>275</x:v>
      </x:c>
      <x:c r="E717" t="n">
        <x:f>MIN($B$4,D717)*$B$7+MAX($B$4-D717,0)*$B$9-$B$4*$B$8</x:f>
        <x:v>200</x:v>
      </x:c>
      <x:c r="F717" t="n">
        <x:f>MIN($B$5,D717)*$B$7+MAX($B$5-D717,0)*$B$9-$B$5*$B$8</x:f>
        <x:v>206.25</x:v>
      </x:c>
      <x:c r="G717" t="n">
        <x:f>MIN($B$6,D717)*$B$7+MAX($B$6-D717,0)*$B$9-$B$6*$B$8</x:f>
        <x:v>151.25</x:v>
      </x:c>
      <x:c r="H717" t="n">
        <x:f>MAX(D717-$B$5,0)</x:f>
        <x:v>0</x:v>
      </x:c>
      <x:c r="I717" t="n">
        <x:f>MAX($B$5-D717,0)</x:f>
        <x:v>25</x:v>
      </x:c>
    </x:row>
    <x:row r="718">
      <x:c r="A718" t="n">
        <x:f>706</x:f>
        <x:v>706</x:v>
      </x:c>
      <x:c r="B718" t="n">
        <x:f>RAND()</x:f>
        <x:v>0.22577944750006618</x:v>
      </x:c>
      <x:c r="C718" t="n">
        <x:f>MIN(47,INT(B718*47)+1)</x:f>
        <x:v>11</x:v>
      </x:c>
      <x:c r="D718" t="n">
        <x:f>INDEX(Datos_47_semanas!$B$4:$B$50,C718)</x:f>
        <x:v>268</x:v>
      </x:c>
      <x:c r="E718" t="n">
        <x:f>MIN($B$4,D718)*$B$7+MAX($B$4-D718,0)*$B$9-$B$4*$B$8</x:f>
        <x:v>200</x:v>
      </x:c>
      <x:c r="F718" t="n">
        <x:f>MIN($B$5,D718)*$B$7+MAX($B$5-D718,0)*$B$9-$B$5*$B$8</x:f>
        <x:v>196.8</x:v>
      </x:c>
      <x:c r="G718" t="n">
        <x:f>MIN($B$6,D718)*$B$7+MAX($B$6-D718,0)*$B$9-$B$6*$B$8</x:f>
        <x:v>141.8</x:v>
      </x:c>
      <x:c r="H718" t="n">
        <x:f>MAX(D718-$B$5,0)</x:f>
        <x:v>0</x:v>
      </x:c>
      <x:c r="I718" t="n">
        <x:f>MAX($B$5-D718,0)</x:f>
        <x:v>32</x:v>
      </x:c>
    </x:row>
    <x:row r="719">
      <x:c r="A719" t="n">
        <x:f>707</x:f>
        <x:v>707</x:v>
      </x:c>
      <x:c r="B719" t="n">
        <x:f>RAND()</x:f>
        <x:v>0.9870904368451231</x:v>
      </x:c>
      <x:c r="C719" t="n">
        <x:f>MIN(47,INT(B719*47)+1)</x:f>
        <x:v>47</x:v>
      </x:c>
      <x:c r="D719" t="n">
        <x:f>INDEX(Datos_47_semanas!$B$4:$B$50,C719)</x:f>
        <x:v>256</x:v>
      </x:c>
      <x:c r="E719" t="n">
        <x:f>MIN($B$4,D719)*$B$7+MAX($B$4-D719,0)*$B$9-$B$4*$B$8</x:f>
        <x:v>200</x:v>
      </x:c>
      <x:c r="F719" t="n">
        <x:f>MIN($B$5,D719)*$B$7+MAX($B$5-D719,0)*$B$9-$B$5*$B$8</x:f>
        <x:v>180.59999999999997</x:v>
      </x:c>
      <x:c r="G719" t="n">
        <x:f>MIN($B$6,D719)*$B$7+MAX($B$6-D719,0)*$B$9-$B$6*$B$8</x:f>
        <x:v>125.59999999999997</x:v>
      </x:c>
      <x:c r="H719" t="n">
        <x:f>MAX(D719-$B$5,0)</x:f>
        <x:v>0</x:v>
      </x:c>
      <x:c r="I719" t="n">
        <x:f>MAX($B$5-D719,0)</x:f>
        <x:v>44</x:v>
      </x:c>
    </x:row>
    <x:row r="720">
      <x:c r="A720" t="n">
        <x:f>708</x:f>
        <x:v>708</x:v>
      </x:c>
      <x:c r="B720" t="n">
        <x:f>RAND()</x:f>
        <x:v>0.07003367662855808</x:v>
      </x:c>
      <x:c r="C720" t="n">
        <x:f>MIN(47,INT(B720*47)+1)</x:f>
        <x:v>4</x:v>
      </x:c>
      <x:c r="D720" t="n">
        <x:f>INDEX(Datos_47_semanas!$B$4:$B$50,C720)</x:f>
        <x:v>161</x:v>
      </x:c>
      <x:c r="E720" t="n">
        <x:f>MIN($B$4,D720)*$B$7+MAX($B$4-D720,0)*$B$9-$B$4*$B$8</x:f>
        <x:v>79.84999999999997</x:v>
      </x:c>
      <x:c r="F720" t="n">
        <x:f>MIN($B$5,D720)*$B$7+MAX($B$5-D720,0)*$B$9-$B$5*$B$8</x:f>
        <x:v>52.349999999999966</x:v>
      </x:c>
      <x:c r="G720" t="n">
        <x:f>MIN($B$6,D720)*$B$7+MAX($B$6-D720,0)*$B$9-$B$6*$B$8</x:f>
        <x:v>-2.650000000000034</x:v>
      </x:c>
      <x:c r="H720" t="n">
        <x:f>MAX(D720-$B$5,0)</x:f>
        <x:v>0</x:v>
      </x:c>
      <x:c r="I720" t="n">
        <x:f>MAX($B$5-D720,0)</x:f>
        <x:v>139</x:v>
      </x:c>
    </x:row>
    <x:row r="721">
      <x:c r="A721" t="n">
        <x:f>709</x:f>
        <x:v>709</x:v>
      </x:c>
      <x:c r="B721" t="n">
        <x:f>RAND()</x:f>
        <x:v>0.2341294481695032</x:v>
      </x:c>
      <x:c r="C721" t="n">
        <x:f>MIN(47,INT(B721*47)+1)</x:f>
        <x:v>12</x:v>
      </x:c>
      <x:c r="D721" t="n">
        <x:f>INDEX(Datos_47_semanas!$B$4:$B$50,C721)</x:f>
        <x:v>336</x:v>
      </x:c>
      <x:c r="E721" t="n">
        <x:f>MIN($B$4,D721)*$B$7+MAX($B$4-D721,0)*$B$9-$B$4*$B$8</x:f>
        <x:v>200</x:v>
      </x:c>
      <x:c r="F721" t="n">
        <x:f>MIN($B$5,D721)*$B$7+MAX($B$5-D721,0)*$B$9-$B$5*$B$8</x:f>
        <x:v>240</x:v>
      </x:c>
      <x:c r="G721" t="n">
        <x:f>MIN($B$6,D721)*$B$7+MAX($B$6-D721,0)*$B$9-$B$6*$B$8</x:f>
        <x:v>233.60000000000002</x:v>
      </x:c>
      <x:c r="H721" t="n">
        <x:f>MAX(D721-$B$5,0)</x:f>
        <x:v>36</x:v>
      </x:c>
      <x:c r="I721" t="n">
        <x:f>MAX($B$5-D721,0)</x:f>
        <x:v>0</x:v>
      </x:c>
    </x:row>
    <x:row r="722">
      <x:c r="A722" t="n">
        <x:f>710</x:f>
        <x:v>710</x:v>
      </x:c>
      <x:c r="B722" t="n">
        <x:f>RAND()</x:f>
        <x:v>0.7489893760421262</x:v>
      </x:c>
      <x:c r="C722" t="n">
        <x:f>MIN(47,INT(B722*47)+1)</x:f>
        <x:v>36</x:v>
      </x:c>
      <x:c r="D722" t="n">
        <x:f>INDEX(Datos_47_semanas!$B$4:$B$50,C722)</x:f>
        <x:v>304</x:v>
      </x:c>
      <x:c r="E722" t="n">
        <x:f>MIN($B$4,D722)*$B$7+MAX($B$4-D722,0)*$B$9-$B$4*$B$8</x:f>
        <x:v>200</x:v>
      </x:c>
      <x:c r="F722" t="n">
        <x:f>MIN($B$5,D722)*$B$7+MAX($B$5-D722,0)*$B$9-$B$5*$B$8</x:f>
        <x:v>240</x:v>
      </x:c>
      <x:c r="G722" t="n">
        <x:f>MIN($B$6,D722)*$B$7+MAX($B$6-D722,0)*$B$9-$B$6*$B$8</x:f>
        <x:v>190.39999999999998</x:v>
      </x:c>
      <x:c r="H722" t="n">
        <x:f>MAX(D722-$B$5,0)</x:f>
        <x:v>4</x:v>
      </x:c>
      <x:c r="I722" t="n">
        <x:f>MAX($B$5-D722,0)</x:f>
        <x:v>0</x:v>
      </x:c>
    </x:row>
    <x:row r="723">
      <x:c r="A723" t="n">
        <x:f>711</x:f>
        <x:v>711</x:v>
      </x:c>
      <x:c r="B723" t="n">
        <x:f>RAND()</x:f>
        <x:v>0.9456817060183743</x:v>
      </x:c>
      <x:c r="C723" t="n">
        <x:f>MIN(47,INT(B723*47)+1)</x:f>
        <x:v>45</x:v>
      </x:c>
      <x:c r="D723" t="n">
        <x:f>INDEX(Datos_47_semanas!$B$4:$B$50,C723)</x:f>
        <x:v>526</x:v>
      </x:c>
      <x:c r="E723" t="n">
        <x:f>MIN($B$4,D723)*$B$7+MAX($B$4-D723,0)*$B$9-$B$4*$B$8</x:f>
        <x:v>200</x:v>
      </x:c>
      <x:c r="F723" t="n">
        <x:f>MIN($B$5,D723)*$B$7+MAX($B$5-D723,0)*$B$9-$B$5*$B$8</x:f>
        <x:v>240</x:v>
      </x:c>
      <x:c r="G723" t="n">
        <x:f>MIN($B$6,D723)*$B$7+MAX($B$6-D723,0)*$B$9-$B$6*$B$8</x:f>
        <x:v>320</x:v>
      </x:c>
      <x:c r="H723" t="n">
        <x:f>MAX(D723-$B$5,0)</x:f>
        <x:v>226</x:v>
      </x:c>
      <x:c r="I723" t="n">
        <x:f>MAX($B$5-D723,0)</x:f>
        <x:v>0</x:v>
      </x:c>
    </x:row>
    <x:row r="724">
      <x:c r="A724" t="n">
        <x:f>712</x:f>
        <x:v>712</x:v>
      </x:c>
      <x:c r="B724" t="n">
        <x:f>RAND()</x:f>
        <x:v>0.8687846984830826</x:v>
      </x:c>
      <x:c r="C724" t="n">
        <x:f>MIN(47,INT(B724*47)+1)</x:f>
        <x:v>41</x:v>
      </x:c>
      <x:c r="D724" t="n">
        <x:f>INDEX(Datos_47_semanas!$B$4:$B$50,C724)</x:f>
        <x:v>383</x:v>
      </x:c>
      <x:c r="E724" t="n">
        <x:f>MIN($B$4,D724)*$B$7+MAX($B$4-D724,0)*$B$9-$B$4*$B$8</x:f>
        <x:v>200</x:v>
      </x:c>
      <x:c r="F724" t="n">
        <x:f>MIN($B$5,D724)*$B$7+MAX($B$5-D724,0)*$B$9-$B$5*$B$8</x:f>
        <x:v>240</x:v>
      </x:c>
      <x:c r="G724" t="n">
        <x:f>MIN($B$6,D724)*$B$7+MAX($B$6-D724,0)*$B$9-$B$6*$B$8</x:f>
        <x:v>297.04999999999995</x:v>
      </x:c>
      <x:c r="H724" t="n">
        <x:f>MAX(D724-$B$5,0)</x:f>
        <x:v>83</x:v>
      </x:c>
      <x:c r="I724" t="n">
        <x:f>MAX($B$5-D724,0)</x:f>
        <x:v>0</x:v>
      </x:c>
    </x:row>
    <x:row r="725">
      <x:c r="A725" t="n">
        <x:f>713</x:f>
        <x:v>713</x:v>
      </x:c>
      <x:c r="B725" t="n">
        <x:f>RAND()</x:f>
        <x:v>0.7938590869098694</x:v>
      </x:c>
      <x:c r="C725" t="n">
        <x:f>MIN(47,INT(B725*47)+1)</x:f>
        <x:v>38</x:v>
      </x:c>
      <x:c r="D725" t="n">
        <x:f>INDEX(Datos_47_semanas!$B$4:$B$50,C725)</x:f>
        <x:v>212</x:v>
      </x:c>
      <x:c r="E725" t="n">
        <x:f>MIN($B$4,D725)*$B$7+MAX($B$4-D725,0)*$B$9-$B$4*$B$8</x:f>
        <x:v>148.69999999999993</x:v>
      </x:c>
      <x:c r="F725" t="n">
        <x:f>MIN($B$5,D725)*$B$7+MAX($B$5-D725,0)*$B$9-$B$5*$B$8</x:f>
        <x:v>121.19999999999993</x:v>
      </x:c>
      <x:c r="G725" t="n">
        <x:f>MIN($B$6,D725)*$B$7+MAX($B$6-D725,0)*$B$9-$B$6*$B$8</x:f>
        <x:v>66.19999999999993</x:v>
      </x:c>
      <x:c r="H725" t="n">
        <x:f>MAX(D725-$B$5,0)</x:f>
        <x:v>0</x:v>
      </x:c>
      <x:c r="I725" t="n">
        <x:f>MAX($B$5-D725,0)</x:f>
        <x:v>88</x:v>
      </x:c>
    </x:row>
    <x:row r="726">
      <x:c r="A726" t="n">
        <x:f>714</x:f>
        <x:v>714</x:v>
      </x:c>
      <x:c r="B726" t="n">
        <x:f>RAND()</x:f>
        <x:v>0.6631034990272469</x:v>
      </x:c>
      <x:c r="C726" t="n">
        <x:f>MIN(47,INT(B726*47)+1)</x:f>
        <x:v>32</x:v>
      </x:c>
      <x:c r="D726" t="n">
        <x:f>INDEX(Datos_47_semanas!$B$4:$B$50,C726)</x:f>
        <x:v>575</x:v>
      </x:c>
      <x:c r="E726" t="n">
        <x:f>MIN($B$4,D726)*$B$7+MAX($B$4-D726,0)*$B$9-$B$4*$B$8</x:f>
        <x:v>200</x:v>
      </x:c>
      <x:c r="F726" t="n">
        <x:f>MIN($B$5,D726)*$B$7+MAX($B$5-D726,0)*$B$9-$B$5*$B$8</x:f>
        <x:v>240</x:v>
      </x:c>
      <x:c r="G726" t="n">
        <x:f>MIN($B$6,D726)*$B$7+MAX($B$6-D726,0)*$B$9-$B$6*$B$8</x:f>
        <x:v>320</x:v>
      </x:c>
      <x:c r="H726" t="n">
        <x:f>MAX(D726-$B$5,0)</x:f>
        <x:v>275</x:v>
      </x:c>
      <x:c r="I726" t="n">
        <x:f>MAX($B$5-D726,0)</x:f>
        <x:v>0</x:v>
      </x:c>
    </x:row>
    <x:row r="727">
      <x:c r="A727" t="n">
        <x:f>715</x:f>
        <x:v>715</x:v>
      </x:c>
      <x:c r="B727" t="n">
        <x:f>RAND()</x:f>
        <x:v>0.18124166102136785</x:v>
      </x:c>
      <x:c r="C727" t="n">
        <x:f>MIN(47,INT(B727*47)+1)</x:f>
        <x:v>9</x:v>
      </x:c>
      <x:c r="D727" t="n">
        <x:f>INDEX(Datos_47_semanas!$B$4:$B$50,C727)</x:f>
        <x:v>155</x:v>
      </x:c>
      <x:c r="E727" t="n">
        <x:f>MIN($B$4,D727)*$B$7+MAX($B$4-D727,0)*$B$9-$B$4*$B$8</x:f>
        <x:v>71.75</x:v>
      </x:c>
      <x:c r="F727" t="n">
        <x:f>MIN($B$5,D727)*$B$7+MAX($B$5-D727,0)*$B$9-$B$5*$B$8</x:f>
        <x:v>44.25</x:v>
      </x:c>
      <x:c r="G727" t="n">
        <x:f>MIN($B$6,D727)*$B$7+MAX($B$6-D727,0)*$B$9-$B$6*$B$8</x:f>
        <x:v>-10.75</x:v>
      </x:c>
      <x:c r="H727" t="n">
        <x:f>MAX(D727-$B$5,0)</x:f>
        <x:v>0</x:v>
      </x:c>
      <x:c r="I727" t="n">
        <x:f>MAX($B$5-D727,0)</x:f>
        <x:v>145</x:v>
      </x:c>
    </x:row>
    <x:row r="728">
      <x:c r="A728" t="n">
        <x:f>716</x:f>
        <x:v>716</x:v>
      </x:c>
      <x:c r="B728" t="n">
        <x:f>RAND()</x:f>
        <x:v>0.4649948909164644</x:v>
      </x:c>
      <x:c r="C728" t="n">
        <x:f>MIN(47,INT(B728*47)+1)</x:f>
        <x:v>22</x:v>
      </x:c>
      <x:c r="D728" t="n">
        <x:f>INDEX(Datos_47_semanas!$B$4:$B$50,C728)</x:f>
        <x:v>171</x:v>
      </x:c>
      <x:c r="E728" t="n">
        <x:f>MIN($B$4,D728)*$B$7+MAX($B$4-D728,0)*$B$9-$B$4*$B$8</x:f>
        <x:v>93.34999999999997</x:v>
      </x:c>
      <x:c r="F728" t="n">
        <x:f>MIN($B$5,D728)*$B$7+MAX($B$5-D728,0)*$B$9-$B$5*$B$8</x:f>
        <x:v>65.84999999999997</x:v>
      </x:c>
      <x:c r="G728" t="n">
        <x:f>MIN($B$6,D728)*$B$7+MAX($B$6-D728,0)*$B$9-$B$6*$B$8</x:f>
        <x:v>10.849999999999966</x:v>
      </x:c>
      <x:c r="H728" t="n">
        <x:f>MAX(D728-$B$5,0)</x:f>
        <x:v>0</x:v>
      </x:c>
      <x:c r="I728" t="n">
        <x:f>MAX($B$5-D728,0)</x:f>
        <x:v>129</x:v>
      </x:c>
    </x:row>
    <x:row r="729">
      <x:c r="A729" t="n">
        <x:f>717</x:f>
        <x:v>717</x:v>
      </x:c>
      <x:c r="B729" t="n">
        <x:f>RAND()</x:f>
        <x:v>0.03525646192481402</x:v>
      </x:c>
      <x:c r="C729" t="n">
        <x:f>MIN(47,INT(B729*47)+1)</x:f>
        <x:v>2</x:v>
      </x:c>
      <x:c r="D729" t="n">
        <x:f>INDEX(Datos_47_semanas!$B$4:$B$50,C729)</x:f>
        <x:v>282</x:v>
      </x:c>
      <x:c r="E729" t="n">
        <x:f>MIN($B$4,D729)*$B$7+MAX($B$4-D729,0)*$B$9-$B$4*$B$8</x:f>
        <x:v>200</x:v>
      </x:c>
      <x:c r="F729" t="n">
        <x:f>MIN($B$5,D729)*$B$7+MAX($B$5-D729,0)*$B$9-$B$5*$B$8</x:f>
        <x:v>215.69999999999993</x:v>
      </x:c>
      <x:c r="G729" t="n">
        <x:f>MIN($B$6,D729)*$B$7+MAX($B$6-D729,0)*$B$9-$B$6*$B$8</x:f>
        <x:v>160.69999999999993</x:v>
      </x:c>
      <x:c r="H729" t="n">
        <x:f>MAX(D729-$B$5,0)</x:f>
        <x:v>0</x:v>
      </x:c>
      <x:c r="I729" t="n">
        <x:f>MAX($B$5-D729,0)</x:f>
        <x:v>18</x:v>
      </x:c>
    </x:row>
    <x:row r="730">
      <x:c r="A730" t="n">
        <x:f>718</x:f>
        <x:v>718</x:v>
      </x:c>
      <x:c r="B730" t="n">
        <x:f>RAND()</x:f>
        <x:v>0.36630987809013293</x:v>
      </x:c>
      <x:c r="C730" t="n">
        <x:f>MIN(47,INT(B730*47)+1)</x:f>
        <x:v>18</x:v>
      </x:c>
      <x:c r="D730" t="n">
        <x:f>INDEX(Datos_47_semanas!$B$4:$B$50,C730)</x:f>
        <x:v>219</x:v>
      </x:c>
      <x:c r="E730" t="n">
        <x:f>MIN($B$4,D730)*$B$7+MAX($B$4-D730,0)*$B$9-$B$4*$B$8</x:f>
        <x:v>158.14999999999998</x:v>
      </x:c>
      <x:c r="F730" t="n">
        <x:f>MIN($B$5,D730)*$B$7+MAX($B$5-D730,0)*$B$9-$B$5*$B$8</x:f>
        <x:v>130.64999999999998</x:v>
      </x:c>
      <x:c r="G730" t="n">
        <x:f>MIN($B$6,D730)*$B$7+MAX($B$6-D730,0)*$B$9-$B$6*$B$8</x:f>
        <x:v>75.64999999999998</x:v>
      </x:c>
      <x:c r="H730" t="n">
        <x:f>MAX(D730-$B$5,0)</x:f>
        <x:v>0</x:v>
      </x:c>
      <x:c r="I730" t="n">
        <x:f>MAX($B$5-D730,0)</x:f>
        <x:v>81</x:v>
      </x:c>
    </x:row>
    <x:row r="731">
      <x:c r="A731" t="n">
        <x:f>719</x:f>
        <x:v>719</x:v>
      </x:c>
      <x:c r="B731" t="n">
        <x:f>RAND()</x:f>
        <x:v>0.6862802591133889</x:v>
      </x:c>
      <x:c r="C731" t="n">
        <x:f>MIN(47,INT(B731*47)+1)</x:f>
        <x:v>33</x:v>
      </x:c>
      <x:c r="D731" t="n">
        <x:f>INDEX(Datos_47_semanas!$B$4:$B$50,C731)</x:f>
        <x:v>373</x:v>
      </x:c>
      <x:c r="E731" t="n">
        <x:f>MIN($B$4,D731)*$B$7+MAX($B$4-D731,0)*$B$9-$B$4*$B$8</x:f>
        <x:v>200</x:v>
      </x:c>
      <x:c r="F731" t="n">
        <x:f>MIN($B$5,D731)*$B$7+MAX($B$5-D731,0)*$B$9-$B$5*$B$8</x:f>
        <x:v>240</x:v>
      </x:c>
      <x:c r="G731" t="n">
        <x:f>MIN($B$6,D731)*$B$7+MAX($B$6-D731,0)*$B$9-$B$6*$B$8</x:f>
        <x:v>283.54999999999995</x:v>
      </x:c>
      <x:c r="H731" t="n">
        <x:f>MAX(D731-$B$5,0)</x:f>
        <x:v>73</x:v>
      </x:c>
      <x:c r="I731" t="n">
        <x:f>MAX($B$5-D731,0)</x:f>
        <x:v>0</x:v>
      </x:c>
    </x:row>
    <x:row r="732">
      <x:c r="A732" t="n">
        <x:f>720</x:f>
        <x:v>720</x:v>
      </x:c>
      <x:c r="B732" t="n">
        <x:f>RAND()</x:f>
        <x:v>0.2903253689192554</x:v>
      </x:c>
      <x:c r="C732" t="n">
        <x:f>MIN(47,INT(B732*47)+1)</x:f>
        <x:v>14</x:v>
      </x:c>
      <x:c r="D732" t="n">
        <x:f>INDEX(Datos_47_semanas!$B$4:$B$50,C732)</x:f>
        <x:v>187</x:v>
      </x:c>
      <x:c r="E732" t="n">
        <x:f>MIN($B$4,D732)*$B$7+MAX($B$4-D732,0)*$B$9-$B$4*$B$8</x:f>
        <x:v>114.94999999999999</x:v>
      </x:c>
      <x:c r="F732" t="n">
        <x:f>MIN($B$5,D732)*$B$7+MAX($B$5-D732,0)*$B$9-$B$5*$B$8</x:f>
        <x:v>87.44999999999999</x:v>
      </x:c>
      <x:c r="G732" t="n">
        <x:f>MIN($B$6,D732)*$B$7+MAX($B$6-D732,0)*$B$9-$B$6*$B$8</x:f>
        <x:v>32.44999999999999</x:v>
      </x:c>
      <x:c r="H732" t="n">
        <x:f>MAX(D732-$B$5,0)</x:f>
        <x:v>0</x:v>
      </x:c>
      <x:c r="I732" t="n">
        <x:f>MAX($B$5-D732,0)</x:f>
        <x:v>113</x:v>
      </x:c>
    </x:row>
    <x:row r="733">
      <x:c r="A733" t="n">
        <x:f>721</x:f>
        <x:v>721</x:v>
      </x:c>
      <x:c r="B733" t="n">
        <x:f>RAND()</x:f>
        <x:v>0.416555731458609</x:v>
      </x:c>
      <x:c r="C733" t="n">
        <x:f>MIN(47,INT(B733*47)+1)</x:f>
        <x:v>20</x:v>
      </x:c>
      <x:c r="D733" t="n">
        <x:f>INDEX(Datos_47_semanas!$B$4:$B$50,C733)</x:f>
        <x:v>335</x:v>
      </x:c>
      <x:c r="E733" t="n">
        <x:f>MIN($B$4,D733)*$B$7+MAX($B$4-D733,0)*$B$9-$B$4*$B$8</x:f>
        <x:v>200</x:v>
      </x:c>
      <x:c r="F733" t="n">
        <x:f>MIN($B$5,D733)*$B$7+MAX($B$5-D733,0)*$B$9-$B$5*$B$8</x:f>
        <x:v>240</x:v>
      </x:c>
      <x:c r="G733" t="n">
        <x:f>MIN($B$6,D733)*$B$7+MAX($B$6-D733,0)*$B$9-$B$6*$B$8</x:f>
        <x:v>232.25</x:v>
      </x:c>
      <x:c r="H733" t="n">
        <x:f>MAX(D733-$B$5,0)</x:f>
        <x:v>35</x:v>
      </x:c>
      <x:c r="I733" t="n">
        <x:f>MAX($B$5-D733,0)</x:f>
        <x:v>0</x:v>
      </x:c>
    </x:row>
    <x:row r="734">
      <x:c r="A734" t="n">
        <x:f>722</x:f>
        <x:v>722</x:v>
      </x:c>
      <x:c r="B734" t="n">
        <x:f>RAND()</x:f>
        <x:v>0.2930588148613418</x:v>
      </x:c>
      <x:c r="C734" t="n">
        <x:f>MIN(47,INT(B734*47)+1)</x:f>
        <x:v>14</x:v>
      </x:c>
      <x:c r="D734" t="n">
        <x:f>INDEX(Datos_47_semanas!$B$4:$B$50,C734)</x:f>
        <x:v>187</x:v>
      </x:c>
      <x:c r="E734" t="n">
        <x:f>MIN($B$4,D734)*$B$7+MAX($B$4-D734,0)*$B$9-$B$4*$B$8</x:f>
        <x:v>114.94999999999999</x:v>
      </x:c>
      <x:c r="F734" t="n">
        <x:f>MIN($B$5,D734)*$B$7+MAX($B$5-D734,0)*$B$9-$B$5*$B$8</x:f>
        <x:v>87.44999999999999</x:v>
      </x:c>
      <x:c r="G734" t="n">
        <x:f>MIN($B$6,D734)*$B$7+MAX($B$6-D734,0)*$B$9-$B$6*$B$8</x:f>
        <x:v>32.44999999999999</x:v>
      </x:c>
      <x:c r="H734" t="n">
        <x:f>MAX(D734-$B$5,0)</x:f>
        <x:v>0</x:v>
      </x:c>
      <x:c r="I734" t="n">
        <x:f>MAX($B$5-D734,0)</x:f>
        <x:v>113</x:v>
      </x:c>
    </x:row>
    <x:row r="735">
      <x:c r="A735" t="n">
        <x:f>723</x:f>
        <x:v>723</x:v>
      </x:c>
      <x:c r="B735" t="n">
        <x:f>RAND()</x:f>
        <x:v>0.08221012961714169</x:v>
      </x:c>
      <x:c r="C735" t="n">
        <x:f>MIN(47,INT(B735*47)+1)</x:f>
        <x:v>4</x:v>
      </x:c>
      <x:c r="D735" t="n">
        <x:f>INDEX(Datos_47_semanas!$B$4:$B$50,C735)</x:f>
        <x:v>161</x:v>
      </x:c>
      <x:c r="E735" t="n">
        <x:f>MIN($B$4,D735)*$B$7+MAX($B$4-D735,0)*$B$9-$B$4*$B$8</x:f>
        <x:v>79.84999999999997</x:v>
      </x:c>
      <x:c r="F735" t="n">
        <x:f>MIN($B$5,D735)*$B$7+MAX($B$5-D735,0)*$B$9-$B$5*$B$8</x:f>
        <x:v>52.349999999999966</x:v>
      </x:c>
      <x:c r="G735" t="n">
        <x:f>MIN($B$6,D735)*$B$7+MAX($B$6-D735,0)*$B$9-$B$6*$B$8</x:f>
        <x:v>-2.650000000000034</x:v>
      </x:c>
      <x:c r="H735" t="n">
        <x:f>MAX(D735-$B$5,0)</x:f>
        <x:v>0</x:v>
      </x:c>
      <x:c r="I735" t="n">
        <x:f>MAX($B$5-D735,0)</x:f>
        <x:v>139</x:v>
      </x:c>
    </x:row>
    <x:row r="736">
      <x:c r="A736" t="n">
        <x:f>724</x:f>
        <x:v>724</x:v>
      </x:c>
      <x:c r="B736" t="n">
        <x:f>RAND()</x:f>
        <x:v>0.2769108037965671</x:v>
      </x:c>
      <x:c r="C736" t="n">
        <x:f>MIN(47,INT(B736*47)+1)</x:f>
        <x:v>14</x:v>
      </x:c>
      <x:c r="D736" t="n">
        <x:f>INDEX(Datos_47_semanas!$B$4:$B$50,C736)</x:f>
        <x:v>187</x:v>
      </x:c>
      <x:c r="E736" t="n">
        <x:f>MIN($B$4,D736)*$B$7+MAX($B$4-D736,0)*$B$9-$B$4*$B$8</x:f>
        <x:v>114.94999999999999</x:v>
      </x:c>
      <x:c r="F736" t="n">
        <x:f>MIN($B$5,D736)*$B$7+MAX($B$5-D736,0)*$B$9-$B$5*$B$8</x:f>
        <x:v>87.44999999999999</x:v>
      </x:c>
      <x:c r="G736" t="n">
        <x:f>MIN($B$6,D736)*$B$7+MAX($B$6-D736,0)*$B$9-$B$6*$B$8</x:f>
        <x:v>32.44999999999999</x:v>
      </x:c>
      <x:c r="H736" t="n">
        <x:f>MAX(D736-$B$5,0)</x:f>
        <x:v>0</x:v>
      </x:c>
      <x:c r="I736" t="n">
        <x:f>MAX($B$5-D736,0)</x:f>
        <x:v>113</x:v>
      </x:c>
    </x:row>
    <x:row r="737">
      <x:c r="A737" t="n">
        <x:f>725</x:f>
        <x:v>725</x:v>
      </x:c>
      <x:c r="B737" t="n">
        <x:f>RAND()</x:f>
        <x:v>0.6333286629370773</x:v>
      </x:c>
      <x:c r="C737" t="n">
        <x:f>MIN(47,INT(B737*47)+1)</x:f>
        <x:v>30</x:v>
      </x:c>
      <x:c r="D737" t="n">
        <x:f>INDEX(Datos_47_semanas!$B$4:$B$50,C737)</x:f>
        <x:v>345</x:v>
      </x:c>
      <x:c r="E737" t="n">
        <x:f>MIN($B$4,D737)*$B$7+MAX($B$4-D737,0)*$B$9-$B$4*$B$8</x:f>
        <x:v>200</x:v>
      </x:c>
      <x:c r="F737" t="n">
        <x:f>MIN($B$5,D737)*$B$7+MAX($B$5-D737,0)*$B$9-$B$5*$B$8</x:f>
        <x:v>240</x:v>
      </x:c>
      <x:c r="G737" t="n">
        <x:f>MIN($B$6,D737)*$B$7+MAX($B$6-D737,0)*$B$9-$B$6*$B$8</x:f>
        <x:v>245.75</x:v>
      </x:c>
      <x:c r="H737" t="n">
        <x:f>MAX(D737-$B$5,0)</x:f>
        <x:v>45</x:v>
      </x:c>
      <x:c r="I737" t="n">
        <x:f>MAX($B$5-D737,0)</x:f>
        <x:v>0</x:v>
      </x:c>
    </x:row>
    <x:row r="738">
      <x:c r="A738" t="n">
        <x:f>726</x:f>
        <x:v>726</x:v>
      </x:c>
      <x:c r="B738" t="n">
        <x:f>RAND()</x:f>
        <x:v>0.4425848201132496</x:v>
      </x:c>
      <x:c r="C738" t="n">
        <x:f>MIN(47,INT(B738*47)+1)</x:f>
        <x:v>21</x:v>
      </x:c>
      <x:c r="D738" t="n">
        <x:f>INDEX(Datos_47_semanas!$B$4:$B$50,C738)</x:f>
        <x:v>424</x:v>
      </x:c>
      <x:c r="E738" t="n">
        <x:f>MIN($B$4,D738)*$B$7+MAX($B$4-D738,0)*$B$9-$B$4*$B$8</x:f>
        <x:v>200</x:v>
      </x:c>
      <x:c r="F738" t="n">
        <x:f>MIN($B$5,D738)*$B$7+MAX($B$5-D738,0)*$B$9-$B$5*$B$8</x:f>
        <x:v>240</x:v>
      </x:c>
      <x:c r="G738" t="n">
        <x:f>MIN($B$6,D738)*$B$7+MAX($B$6-D738,0)*$B$9-$B$6*$B$8</x:f>
        <x:v>320</x:v>
      </x:c>
      <x:c r="H738" t="n">
        <x:f>MAX(D738-$B$5,0)</x:f>
        <x:v>124</x:v>
      </x:c>
      <x:c r="I738" t="n">
        <x:f>MAX($B$5-D738,0)</x:f>
        <x:v>0</x:v>
      </x:c>
    </x:row>
    <x:row r="739">
      <x:c r="A739" t="n">
        <x:f>727</x:f>
        <x:v>727</x:v>
      </x:c>
      <x:c r="B739" t="n">
        <x:f>RAND()</x:f>
        <x:v>0.22319489560431505</x:v>
      </x:c>
      <x:c r="C739" t="n">
        <x:f>MIN(47,INT(B739*47)+1)</x:f>
        <x:v>11</x:v>
      </x:c>
      <x:c r="D739" t="n">
        <x:f>INDEX(Datos_47_semanas!$B$4:$B$50,C739)</x:f>
        <x:v>268</x:v>
      </x:c>
      <x:c r="E739" t="n">
        <x:f>MIN($B$4,D739)*$B$7+MAX($B$4-D739,0)*$B$9-$B$4*$B$8</x:f>
        <x:v>200</x:v>
      </x:c>
      <x:c r="F739" t="n">
        <x:f>MIN($B$5,D739)*$B$7+MAX($B$5-D739,0)*$B$9-$B$5*$B$8</x:f>
        <x:v>196.8</x:v>
      </x:c>
      <x:c r="G739" t="n">
        <x:f>MIN($B$6,D739)*$B$7+MAX($B$6-D739,0)*$B$9-$B$6*$B$8</x:f>
        <x:v>141.8</x:v>
      </x:c>
      <x:c r="H739" t="n">
        <x:f>MAX(D739-$B$5,0)</x:f>
        <x:v>0</x:v>
      </x:c>
      <x:c r="I739" t="n">
        <x:f>MAX($B$5-D739,0)</x:f>
        <x:v>32</x:v>
      </x:c>
    </x:row>
    <x:row r="740">
      <x:c r="A740" t="n">
        <x:f>728</x:f>
        <x:v>728</x:v>
      </x:c>
      <x:c r="B740" t="n">
        <x:f>RAND()</x:f>
        <x:v>0.20729946071241423</x:v>
      </x:c>
      <x:c r="C740" t="n">
        <x:f>MIN(47,INT(B740*47)+1)</x:f>
        <x:v>10</x:v>
      </x:c>
      <x:c r="D740" t="n">
        <x:f>INDEX(Datos_47_semanas!$B$4:$B$50,C740)</x:f>
        <x:v>98</x:v>
      </x:c>
      <x:c r="E740" t="n">
        <x:f>MIN($B$4,D740)*$B$7+MAX($B$4-D740,0)*$B$9-$B$4*$B$8</x:f>
        <x:v>-5.200000000000017</x:v>
      </x:c>
      <x:c r="F740" t="n">
        <x:f>MIN($B$5,D740)*$B$7+MAX($B$5-D740,0)*$B$9-$B$5*$B$8</x:f>
        <x:v>-32.70000000000002</x:v>
      </x:c>
      <x:c r="G740" t="n">
        <x:f>MIN($B$6,D740)*$B$7+MAX($B$6-D740,0)*$B$9-$B$6*$B$8</x:f>
        <x:v>-87.70000000000002</x:v>
      </x:c>
      <x:c r="H740" t="n">
        <x:f>MAX(D740-$B$5,0)</x:f>
        <x:v>0</x:v>
      </x:c>
      <x:c r="I740" t="n">
        <x:f>MAX($B$5-D740,0)</x:f>
        <x:v>202</x:v>
      </x:c>
    </x:row>
    <x:row r="741">
      <x:c r="A741" t="n">
        <x:f>729</x:f>
        <x:v>729</x:v>
      </x:c>
      <x:c r="B741" t="n">
        <x:f>RAND()</x:f>
        <x:v>0.47112318637041284</x:v>
      </x:c>
      <x:c r="C741" t="n">
        <x:f>MIN(47,INT(B741*47)+1)</x:f>
        <x:v>23</x:v>
      </x:c>
      <x:c r="D741" t="n">
        <x:f>INDEX(Datos_47_semanas!$B$4:$B$50,C741)</x:f>
        <x:v>565</x:v>
      </x:c>
      <x:c r="E741" t="n">
        <x:f>MIN($B$4,D741)*$B$7+MAX($B$4-D741,0)*$B$9-$B$4*$B$8</x:f>
        <x:v>200</x:v>
      </x:c>
      <x:c r="F741" t="n">
        <x:f>MIN($B$5,D741)*$B$7+MAX($B$5-D741,0)*$B$9-$B$5*$B$8</x:f>
        <x:v>240</x:v>
      </x:c>
      <x:c r="G741" t="n">
        <x:f>MIN($B$6,D741)*$B$7+MAX($B$6-D741,0)*$B$9-$B$6*$B$8</x:f>
        <x:v>320</x:v>
      </x:c>
      <x:c r="H741" t="n">
        <x:f>MAX(D741-$B$5,0)</x:f>
        <x:v>265</x:v>
      </x:c>
      <x:c r="I741" t="n">
        <x:f>MAX($B$5-D741,0)</x:f>
        <x:v>0</x:v>
      </x:c>
    </x:row>
    <x:row r="742">
      <x:c r="A742" t="n">
        <x:f>730</x:f>
        <x:v>730</x:v>
      </x:c>
      <x:c r="B742" t="n">
        <x:f>RAND()</x:f>
        <x:v>0.8536121326919491</x:v>
      </x:c>
      <x:c r="C742" t="n">
        <x:f>MIN(47,INT(B742*47)+1)</x:f>
        <x:v>41</x:v>
      </x:c>
      <x:c r="D742" t="n">
        <x:f>INDEX(Datos_47_semanas!$B$4:$B$50,C742)</x:f>
        <x:v>383</x:v>
      </x:c>
      <x:c r="E742" t="n">
        <x:f>MIN($B$4,D742)*$B$7+MAX($B$4-D742,0)*$B$9-$B$4*$B$8</x:f>
        <x:v>200</x:v>
      </x:c>
      <x:c r="F742" t="n">
        <x:f>MIN($B$5,D742)*$B$7+MAX($B$5-D742,0)*$B$9-$B$5*$B$8</x:f>
        <x:v>240</x:v>
      </x:c>
      <x:c r="G742" t="n">
        <x:f>MIN($B$6,D742)*$B$7+MAX($B$6-D742,0)*$B$9-$B$6*$B$8</x:f>
        <x:v>297.04999999999995</x:v>
      </x:c>
      <x:c r="H742" t="n">
        <x:f>MAX(D742-$B$5,0)</x:f>
        <x:v>83</x:v>
      </x:c>
      <x:c r="I742" t="n">
        <x:f>MAX($B$5-D742,0)</x:f>
        <x:v>0</x:v>
      </x:c>
    </x:row>
    <x:row r="743">
      <x:c r="A743" t="n">
        <x:f>731</x:f>
        <x:v>731</x:v>
      </x:c>
      <x:c r="B743" t="n">
        <x:f>RAND()</x:f>
        <x:v>0.1545414156571363</x:v>
      </x:c>
      <x:c r="C743" t="n">
        <x:f>MIN(47,INT(B743*47)+1)</x:f>
        <x:v>8</x:v>
      </x:c>
      <x:c r="D743" t="n">
        <x:f>INDEX(Datos_47_semanas!$B$4:$B$50,C743)</x:f>
        <x:v>259</x:v>
      </x:c>
      <x:c r="E743" t="n">
        <x:f>MIN($B$4,D743)*$B$7+MAX($B$4-D743,0)*$B$9-$B$4*$B$8</x:f>
        <x:v>200</x:v>
      </x:c>
      <x:c r="F743" t="n">
        <x:f>MIN($B$5,D743)*$B$7+MAX($B$5-D743,0)*$B$9-$B$5*$B$8</x:f>
        <x:v>184.64999999999998</x:v>
      </x:c>
      <x:c r="G743" t="n">
        <x:f>MIN($B$6,D743)*$B$7+MAX($B$6-D743,0)*$B$9-$B$6*$B$8</x:f>
        <x:v>129.64999999999998</x:v>
      </x:c>
      <x:c r="H743" t="n">
        <x:f>MAX(D743-$B$5,0)</x:f>
        <x:v>0</x:v>
      </x:c>
      <x:c r="I743" t="n">
        <x:f>MAX($B$5-D743,0)</x:f>
        <x:v>41</x:v>
      </x:c>
    </x:row>
    <x:row r="744">
      <x:c r="A744" t="n">
        <x:f>732</x:f>
        <x:v>732</x:v>
      </x:c>
      <x:c r="B744" t="n">
        <x:f>RAND()</x:f>
        <x:v>0.7424237364458641</x:v>
      </x:c>
      <x:c r="C744" t="n">
        <x:f>MIN(47,INT(B744*47)+1)</x:f>
        <x:v>35</x:v>
      </x:c>
      <x:c r="D744" t="n">
        <x:f>INDEX(Datos_47_semanas!$B$4:$B$50,C744)</x:f>
        <x:v>192</x:v>
      </x:c>
      <x:c r="E744" t="n">
        <x:f>MIN($B$4,D744)*$B$7+MAX($B$4-D744,0)*$B$9-$B$4*$B$8</x:f>
        <x:v>121.69999999999993</x:v>
      </x:c>
      <x:c r="F744" t="n">
        <x:f>MIN($B$5,D744)*$B$7+MAX($B$5-D744,0)*$B$9-$B$5*$B$8</x:f>
        <x:v>94.19999999999993</x:v>
      </x:c>
      <x:c r="G744" t="n">
        <x:f>MIN($B$6,D744)*$B$7+MAX($B$6-D744,0)*$B$9-$B$6*$B$8</x:f>
        <x:v>39.19999999999993</x:v>
      </x:c>
      <x:c r="H744" t="n">
        <x:f>MAX(D744-$B$5,0)</x:f>
        <x:v>0</x:v>
      </x:c>
      <x:c r="I744" t="n">
        <x:f>MAX($B$5-D744,0)</x:f>
        <x:v>108</x:v>
      </x:c>
    </x:row>
    <x:row r="745">
      <x:c r="A745" t="n">
        <x:f>733</x:f>
        <x:v>733</x:v>
      </x:c>
      <x:c r="B745" t="n">
        <x:f>RAND()</x:f>
        <x:v>0.4516168714567249</x:v>
      </x:c>
      <x:c r="C745" t="n">
        <x:f>MIN(47,INT(B745*47)+1)</x:f>
        <x:v>22</x:v>
      </x:c>
      <x:c r="D745" t="n">
        <x:f>INDEX(Datos_47_semanas!$B$4:$B$50,C745)</x:f>
        <x:v>171</x:v>
      </x:c>
      <x:c r="E745" t="n">
        <x:f>MIN($B$4,D745)*$B$7+MAX($B$4-D745,0)*$B$9-$B$4*$B$8</x:f>
        <x:v>93.34999999999997</x:v>
      </x:c>
      <x:c r="F745" t="n">
        <x:f>MIN($B$5,D745)*$B$7+MAX($B$5-D745,0)*$B$9-$B$5*$B$8</x:f>
        <x:v>65.84999999999997</x:v>
      </x:c>
      <x:c r="G745" t="n">
        <x:f>MIN($B$6,D745)*$B$7+MAX($B$6-D745,0)*$B$9-$B$6*$B$8</x:f>
        <x:v>10.849999999999966</x:v>
      </x:c>
      <x:c r="H745" t="n">
        <x:f>MAX(D745-$B$5,0)</x:f>
        <x:v>0</x:v>
      </x:c>
      <x:c r="I745" t="n">
        <x:f>MAX($B$5-D745,0)</x:f>
        <x:v>129</x:v>
      </x:c>
    </x:row>
    <x:row r="746">
      <x:c r="A746" t="n">
        <x:f>734</x:f>
        <x:v>734</x:v>
      </x:c>
      <x:c r="B746" t="n">
        <x:f>RAND()</x:f>
        <x:v>0.9262598456020986</x:v>
      </x:c>
      <x:c r="C746" t="n">
        <x:f>MIN(47,INT(B746*47)+1)</x:f>
        <x:v>44</x:v>
      </x:c>
      <x:c r="D746" t="n">
        <x:f>INDEX(Datos_47_semanas!$B$4:$B$50,C746)</x:f>
        <x:v>223</x:v>
      </x:c>
      <x:c r="E746" t="n">
        <x:f>MIN($B$4,D746)*$B$7+MAX($B$4-D746,0)*$B$9-$B$4*$B$8</x:f>
        <x:v>163.55</x:v>
      </x:c>
      <x:c r="F746" t="n">
        <x:f>MIN($B$5,D746)*$B$7+MAX($B$5-D746,0)*$B$9-$B$5*$B$8</x:f>
        <x:v>136.05</x:v>
      </x:c>
      <x:c r="G746" t="n">
        <x:f>MIN($B$6,D746)*$B$7+MAX($B$6-D746,0)*$B$9-$B$6*$B$8</x:f>
        <x:v>81.05000000000001</x:v>
      </x:c>
      <x:c r="H746" t="n">
        <x:f>MAX(D746-$B$5,0)</x:f>
        <x:v>0</x:v>
      </x:c>
      <x:c r="I746" t="n">
        <x:f>MAX($B$5-D746,0)</x:f>
        <x:v>77</x:v>
      </x:c>
    </x:row>
    <x:row r="747">
      <x:c r="A747" t="n">
        <x:f>735</x:f>
        <x:v>735</x:v>
      </x:c>
      <x:c r="B747" t="n">
        <x:f>RAND()</x:f>
        <x:v>0.49405227764493664</x:v>
      </x:c>
      <x:c r="C747" t="n">
        <x:f>MIN(47,INT(B747*47)+1)</x:f>
        <x:v>24</x:v>
      </x:c>
      <x:c r="D747" t="n">
        <x:f>INDEX(Datos_47_semanas!$B$4:$B$50,C747)</x:f>
        <x:v>186</x:v>
      </x:c>
      <x:c r="E747" t="n">
        <x:f>MIN($B$4,D747)*$B$7+MAX($B$4-D747,0)*$B$9-$B$4*$B$8</x:f>
        <x:v>113.59999999999997</x:v>
      </x:c>
      <x:c r="F747" t="n">
        <x:f>MIN($B$5,D747)*$B$7+MAX($B$5-D747,0)*$B$9-$B$5*$B$8</x:f>
        <x:v>86.09999999999997</x:v>
      </x:c>
      <x:c r="G747" t="n">
        <x:f>MIN($B$6,D747)*$B$7+MAX($B$6-D747,0)*$B$9-$B$6*$B$8</x:f>
        <x:v>31.099999999999966</x:v>
      </x:c>
      <x:c r="H747" t="n">
        <x:f>MAX(D747-$B$5,0)</x:f>
        <x:v>0</x:v>
      </x:c>
      <x:c r="I747" t="n">
        <x:f>MAX($B$5-D747,0)</x:f>
        <x:v>114</x:v>
      </x:c>
    </x:row>
    <x:row r="748">
      <x:c r="A748" t="n">
        <x:f>736</x:f>
        <x:v>736</x:v>
      </x:c>
      <x:c r="B748" t="n">
        <x:f>RAND()</x:f>
        <x:v>0.4137538462932412</x:v>
      </x:c>
      <x:c r="C748" t="n">
        <x:f>MIN(47,INT(B748*47)+1)</x:f>
        <x:v>20</x:v>
      </x:c>
      <x:c r="D748" t="n">
        <x:f>INDEX(Datos_47_semanas!$B$4:$B$50,C748)</x:f>
        <x:v>335</x:v>
      </x:c>
      <x:c r="E748" t="n">
        <x:f>MIN($B$4,D748)*$B$7+MAX($B$4-D748,0)*$B$9-$B$4*$B$8</x:f>
        <x:v>200</x:v>
      </x:c>
      <x:c r="F748" t="n">
        <x:f>MIN($B$5,D748)*$B$7+MAX($B$5-D748,0)*$B$9-$B$5*$B$8</x:f>
        <x:v>240</x:v>
      </x:c>
      <x:c r="G748" t="n">
        <x:f>MIN($B$6,D748)*$B$7+MAX($B$6-D748,0)*$B$9-$B$6*$B$8</x:f>
        <x:v>232.25</x:v>
      </x:c>
      <x:c r="H748" t="n">
        <x:f>MAX(D748-$B$5,0)</x:f>
        <x:v>35</x:v>
      </x:c>
      <x:c r="I748" t="n">
        <x:f>MAX($B$5-D748,0)</x:f>
        <x:v>0</x:v>
      </x:c>
    </x:row>
    <x:row r="749">
      <x:c r="A749" t="n">
        <x:f>737</x:f>
        <x:v>737</x:v>
      </x:c>
      <x:c r="B749" t="n">
        <x:f>RAND()</x:f>
        <x:v>0.03105991182419421</x:v>
      </x:c>
      <x:c r="C749" t="n">
        <x:f>MIN(47,INT(B749*47)+1)</x:f>
        <x:v>2</x:v>
      </x:c>
      <x:c r="D749" t="n">
        <x:f>INDEX(Datos_47_semanas!$B$4:$B$50,C749)</x:f>
        <x:v>282</x:v>
      </x:c>
      <x:c r="E749" t="n">
        <x:f>MIN($B$4,D749)*$B$7+MAX($B$4-D749,0)*$B$9-$B$4*$B$8</x:f>
        <x:v>200</x:v>
      </x:c>
      <x:c r="F749" t="n">
        <x:f>MIN($B$5,D749)*$B$7+MAX($B$5-D749,0)*$B$9-$B$5*$B$8</x:f>
        <x:v>215.69999999999993</x:v>
      </x:c>
      <x:c r="G749" t="n">
        <x:f>MIN($B$6,D749)*$B$7+MAX($B$6-D749,0)*$B$9-$B$6*$B$8</x:f>
        <x:v>160.69999999999993</x:v>
      </x:c>
      <x:c r="H749" t="n">
        <x:f>MAX(D749-$B$5,0)</x:f>
        <x:v>0</x:v>
      </x:c>
      <x:c r="I749" t="n">
        <x:f>MAX($B$5-D749,0)</x:f>
        <x:v>18</x:v>
      </x:c>
    </x:row>
    <x:row r="750">
      <x:c r="A750" t="n">
        <x:f>738</x:f>
        <x:v>738</x:v>
      </x:c>
      <x:c r="B750" t="n">
        <x:f>RAND()</x:f>
        <x:v>0.4510324495099217</x:v>
      </x:c>
      <x:c r="C750" t="n">
        <x:f>MIN(47,INT(B750*47)+1)</x:f>
        <x:v>22</x:v>
      </x:c>
      <x:c r="D750" t="n">
        <x:f>INDEX(Datos_47_semanas!$B$4:$B$50,C750)</x:f>
        <x:v>171</x:v>
      </x:c>
      <x:c r="E750" t="n">
        <x:f>MIN($B$4,D750)*$B$7+MAX($B$4-D750,0)*$B$9-$B$4*$B$8</x:f>
        <x:v>93.34999999999997</x:v>
      </x:c>
      <x:c r="F750" t="n">
        <x:f>MIN($B$5,D750)*$B$7+MAX($B$5-D750,0)*$B$9-$B$5*$B$8</x:f>
        <x:v>65.84999999999997</x:v>
      </x:c>
      <x:c r="G750" t="n">
        <x:f>MIN($B$6,D750)*$B$7+MAX($B$6-D750,0)*$B$9-$B$6*$B$8</x:f>
        <x:v>10.849999999999966</x:v>
      </x:c>
      <x:c r="H750" t="n">
        <x:f>MAX(D750-$B$5,0)</x:f>
        <x:v>0</x:v>
      </x:c>
      <x:c r="I750" t="n">
        <x:f>MAX($B$5-D750,0)</x:f>
        <x:v>129</x:v>
      </x:c>
    </x:row>
    <x:row r="751">
      <x:c r="A751" t="n">
        <x:f>739</x:f>
        <x:v>739</x:v>
      </x:c>
      <x:c r="B751" t="n">
        <x:f>RAND()</x:f>
        <x:v>0.3484054850723959</x:v>
      </x:c>
      <x:c r="C751" t="n">
        <x:f>MIN(47,INT(B751*47)+1)</x:f>
        <x:v>17</x:v>
      </x:c>
      <x:c r="D751" t="n">
        <x:f>INDEX(Datos_47_semanas!$B$4:$B$50,C751)</x:f>
        <x:v>154</x:v>
      </x:c>
      <x:c r="E751" t="n">
        <x:f>MIN($B$4,D751)*$B$7+MAX($B$4-D751,0)*$B$9-$B$4*$B$8</x:f>
        <x:v>70.39999999999998</x:v>
      </x:c>
      <x:c r="F751" t="n">
        <x:f>MIN($B$5,D751)*$B$7+MAX($B$5-D751,0)*$B$9-$B$5*$B$8</x:f>
        <x:v>42.89999999999998</x:v>
      </x:c>
      <x:c r="G751" t="n">
        <x:f>MIN($B$6,D751)*$B$7+MAX($B$6-D751,0)*$B$9-$B$6*$B$8</x:f>
        <x:v>-12.100000000000023</x:v>
      </x:c>
      <x:c r="H751" t="n">
        <x:f>MAX(D751-$B$5,0)</x:f>
        <x:v>0</x:v>
      </x:c>
      <x:c r="I751" t="n">
        <x:f>MAX($B$5-D751,0)</x:f>
        <x:v>146</x:v>
      </x:c>
    </x:row>
    <x:row r="752">
      <x:c r="A752" t="n">
        <x:f>740</x:f>
        <x:v>740</x:v>
      </x:c>
      <x:c r="B752" t="n">
        <x:f>RAND()</x:f>
        <x:v>0.2980988371553728</x:v>
      </x:c>
      <x:c r="C752" t="n">
        <x:f>MIN(47,INT(B752*47)+1)</x:f>
        <x:v>15</x:v>
      </x:c>
      <x:c r="D752" t="n">
        <x:f>INDEX(Datos_47_semanas!$B$4:$B$50,C752)</x:f>
        <x:v>275</x:v>
      </x:c>
      <x:c r="E752" t="n">
        <x:f>MIN($B$4,D752)*$B$7+MAX($B$4-D752,0)*$B$9-$B$4*$B$8</x:f>
        <x:v>200</x:v>
      </x:c>
      <x:c r="F752" t="n">
        <x:f>MIN($B$5,D752)*$B$7+MAX($B$5-D752,0)*$B$9-$B$5*$B$8</x:f>
        <x:v>206.25</x:v>
      </x:c>
      <x:c r="G752" t="n">
        <x:f>MIN($B$6,D752)*$B$7+MAX($B$6-D752,0)*$B$9-$B$6*$B$8</x:f>
        <x:v>151.25</x:v>
      </x:c>
      <x:c r="H752" t="n">
        <x:f>MAX(D752-$B$5,0)</x:f>
        <x:v>0</x:v>
      </x:c>
      <x:c r="I752" t="n">
        <x:f>MAX($B$5-D752,0)</x:f>
        <x:v>25</x:v>
      </x:c>
    </x:row>
    <x:row r="753">
      <x:c r="A753" t="n">
        <x:f>741</x:f>
        <x:v>741</x:v>
      </x:c>
      <x:c r="B753" t="n">
        <x:f>RAND()</x:f>
        <x:v>0.9441547184907113</x:v>
      </x:c>
      <x:c r="C753" t="n">
        <x:f>MIN(47,INT(B753*47)+1)</x:f>
        <x:v>45</x:v>
      </x:c>
      <x:c r="D753" t="n">
        <x:f>INDEX(Datos_47_semanas!$B$4:$B$50,C753)</x:f>
        <x:v>526</x:v>
      </x:c>
      <x:c r="E753" t="n">
        <x:f>MIN($B$4,D753)*$B$7+MAX($B$4-D753,0)*$B$9-$B$4*$B$8</x:f>
        <x:v>200</x:v>
      </x:c>
      <x:c r="F753" t="n">
        <x:f>MIN($B$5,D753)*$B$7+MAX($B$5-D753,0)*$B$9-$B$5*$B$8</x:f>
        <x:v>240</x:v>
      </x:c>
      <x:c r="G753" t="n">
        <x:f>MIN($B$6,D753)*$B$7+MAX($B$6-D753,0)*$B$9-$B$6*$B$8</x:f>
        <x:v>320</x:v>
      </x:c>
      <x:c r="H753" t="n">
        <x:f>MAX(D753-$B$5,0)</x:f>
        <x:v>226</x:v>
      </x:c>
      <x:c r="I753" t="n">
        <x:f>MAX($B$5-D753,0)</x:f>
        <x:v>0</x:v>
      </x:c>
    </x:row>
    <x:row r="754">
      <x:c r="A754" t="n">
        <x:f>742</x:f>
        <x:v>742</x:v>
      </x:c>
      <x:c r="B754" t="n">
        <x:f>RAND()</x:f>
        <x:v>0.20698579884189172</x:v>
      </x:c>
      <x:c r="C754" t="n">
        <x:f>MIN(47,INT(B754*47)+1)</x:f>
        <x:v>10</x:v>
      </x:c>
      <x:c r="D754" t="n">
        <x:f>INDEX(Datos_47_semanas!$B$4:$B$50,C754)</x:f>
        <x:v>98</x:v>
      </x:c>
      <x:c r="E754" t="n">
        <x:f>MIN($B$4,D754)*$B$7+MAX($B$4-D754,0)*$B$9-$B$4*$B$8</x:f>
        <x:v>-5.200000000000017</x:v>
      </x:c>
      <x:c r="F754" t="n">
        <x:f>MIN($B$5,D754)*$B$7+MAX($B$5-D754,0)*$B$9-$B$5*$B$8</x:f>
        <x:v>-32.70000000000002</x:v>
      </x:c>
      <x:c r="G754" t="n">
        <x:f>MIN($B$6,D754)*$B$7+MAX($B$6-D754,0)*$B$9-$B$6*$B$8</x:f>
        <x:v>-87.70000000000002</x:v>
      </x:c>
      <x:c r="H754" t="n">
        <x:f>MAX(D754-$B$5,0)</x:f>
        <x:v>0</x:v>
      </x:c>
      <x:c r="I754" t="n">
        <x:f>MAX($B$5-D754,0)</x:f>
        <x:v>202</x:v>
      </x:c>
    </x:row>
    <x:row r="755">
      <x:c r="A755" t="n">
        <x:f>743</x:f>
        <x:v>743</x:v>
      </x:c>
      <x:c r="B755" t="n">
        <x:f>RAND()</x:f>
        <x:v>0.4253580865791967</x:v>
      </x:c>
      <x:c r="C755" t="n">
        <x:f>MIN(47,INT(B755*47)+1)</x:f>
        <x:v>20</x:v>
      </x:c>
      <x:c r="D755" t="n">
        <x:f>INDEX(Datos_47_semanas!$B$4:$B$50,C755)</x:f>
        <x:v>335</x:v>
      </x:c>
      <x:c r="E755" t="n">
        <x:f>MIN($B$4,D755)*$B$7+MAX($B$4-D755,0)*$B$9-$B$4*$B$8</x:f>
        <x:v>200</x:v>
      </x:c>
      <x:c r="F755" t="n">
        <x:f>MIN($B$5,D755)*$B$7+MAX($B$5-D755,0)*$B$9-$B$5*$B$8</x:f>
        <x:v>240</x:v>
      </x:c>
      <x:c r="G755" t="n">
        <x:f>MIN($B$6,D755)*$B$7+MAX($B$6-D755,0)*$B$9-$B$6*$B$8</x:f>
        <x:v>232.25</x:v>
      </x:c>
      <x:c r="H755" t="n">
        <x:f>MAX(D755-$B$5,0)</x:f>
        <x:v>35</x:v>
      </x:c>
      <x:c r="I755" t="n">
        <x:f>MAX($B$5-D755,0)</x:f>
        <x:v>0</x:v>
      </x:c>
    </x:row>
    <x:row r="756">
      <x:c r="A756" t="n">
        <x:f>744</x:f>
        <x:v>744</x:v>
      </x:c>
      <x:c r="B756" t="n">
        <x:f>RAND()</x:f>
        <x:v>0.04240615087662469</x:v>
      </x:c>
      <x:c r="C756" t="n">
        <x:f>MIN(47,INT(B756*47)+1)</x:f>
        <x:v>2</x:v>
      </x:c>
      <x:c r="D756" t="n">
        <x:f>INDEX(Datos_47_semanas!$B$4:$B$50,C756)</x:f>
        <x:v>282</x:v>
      </x:c>
      <x:c r="E756" t="n">
        <x:f>MIN($B$4,D756)*$B$7+MAX($B$4-D756,0)*$B$9-$B$4*$B$8</x:f>
        <x:v>200</x:v>
      </x:c>
      <x:c r="F756" t="n">
        <x:f>MIN($B$5,D756)*$B$7+MAX($B$5-D756,0)*$B$9-$B$5*$B$8</x:f>
        <x:v>215.69999999999993</x:v>
      </x:c>
      <x:c r="G756" t="n">
        <x:f>MIN($B$6,D756)*$B$7+MAX($B$6-D756,0)*$B$9-$B$6*$B$8</x:f>
        <x:v>160.69999999999993</x:v>
      </x:c>
      <x:c r="H756" t="n">
        <x:f>MAX(D756-$B$5,0)</x:f>
        <x:v>0</x:v>
      </x:c>
      <x:c r="I756" t="n">
        <x:f>MAX($B$5-D756,0)</x:f>
        <x:v>18</x:v>
      </x:c>
    </x:row>
    <x:row r="757">
      <x:c r="A757" t="n">
        <x:f>745</x:f>
        <x:v>745</x:v>
      </x:c>
      <x:c r="B757" t="n">
        <x:f>RAND()</x:f>
        <x:v>0.8849989989276555</x:v>
      </x:c>
      <x:c r="C757" t="n">
        <x:f>MIN(47,INT(B757*47)+1)</x:f>
        <x:v>42</x:v>
      </x:c>
      <x:c r="D757" t="n">
        <x:f>INDEX(Datos_47_semanas!$B$4:$B$50,C757)</x:f>
        <x:v>146</x:v>
      </x:c>
      <x:c r="E757" t="n">
        <x:f>MIN($B$4,D757)*$B$7+MAX($B$4-D757,0)*$B$9-$B$4*$B$8</x:f>
        <x:v>59.599999999999966</x:v>
      </x:c>
      <x:c r="F757" t="n">
        <x:f>MIN($B$5,D757)*$B$7+MAX($B$5-D757,0)*$B$9-$B$5*$B$8</x:f>
        <x:v>32.099999999999966</x:v>
      </x:c>
      <x:c r="G757" t="n">
        <x:f>MIN($B$6,D757)*$B$7+MAX($B$6-D757,0)*$B$9-$B$6*$B$8</x:f>
        <x:v>-22.900000000000034</x:v>
      </x:c>
      <x:c r="H757" t="n">
        <x:f>MAX(D757-$B$5,0)</x:f>
        <x:v>0</x:v>
      </x:c>
      <x:c r="I757" t="n">
        <x:f>MAX($B$5-D757,0)</x:f>
        <x:v>154</x:v>
      </x:c>
    </x:row>
    <x:row r="758">
      <x:c r="A758" t="n">
        <x:f>746</x:f>
        <x:v>746</x:v>
      </x:c>
      <x:c r="B758" t="n">
        <x:f>RAND()</x:f>
        <x:v>0.4122940405642468</x:v>
      </x:c>
      <x:c r="C758" t="n">
        <x:f>MIN(47,INT(B758*47)+1)</x:f>
        <x:v>20</x:v>
      </x:c>
      <x:c r="D758" t="n">
        <x:f>INDEX(Datos_47_semanas!$B$4:$B$50,C758)</x:f>
        <x:v>335</x:v>
      </x:c>
      <x:c r="E758" t="n">
        <x:f>MIN($B$4,D758)*$B$7+MAX($B$4-D758,0)*$B$9-$B$4*$B$8</x:f>
        <x:v>200</x:v>
      </x:c>
      <x:c r="F758" t="n">
        <x:f>MIN($B$5,D758)*$B$7+MAX($B$5-D758,0)*$B$9-$B$5*$B$8</x:f>
        <x:v>240</x:v>
      </x:c>
      <x:c r="G758" t="n">
        <x:f>MIN($B$6,D758)*$B$7+MAX($B$6-D758,0)*$B$9-$B$6*$B$8</x:f>
        <x:v>232.25</x:v>
      </x:c>
      <x:c r="H758" t="n">
        <x:f>MAX(D758-$B$5,0)</x:f>
        <x:v>35</x:v>
      </x:c>
      <x:c r="I758" t="n">
        <x:f>MAX($B$5-D758,0)</x:f>
        <x:v>0</x:v>
      </x:c>
    </x:row>
    <x:row r="759">
      <x:c r="A759" t="n">
        <x:f>747</x:f>
        <x:v>747</x:v>
      </x:c>
      <x:c r="B759" t="n">
        <x:f>RAND()</x:f>
        <x:v>0.8796936602870655</x:v>
      </x:c>
      <x:c r="C759" t="n">
        <x:f>MIN(47,INT(B759*47)+1)</x:f>
        <x:v>42</x:v>
      </x:c>
      <x:c r="D759" t="n">
        <x:f>INDEX(Datos_47_semanas!$B$4:$B$50,C759)</x:f>
        <x:v>146</x:v>
      </x:c>
      <x:c r="E759" t="n">
        <x:f>MIN($B$4,D759)*$B$7+MAX($B$4-D759,0)*$B$9-$B$4*$B$8</x:f>
        <x:v>59.599999999999966</x:v>
      </x:c>
      <x:c r="F759" t="n">
        <x:f>MIN($B$5,D759)*$B$7+MAX($B$5-D759,0)*$B$9-$B$5*$B$8</x:f>
        <x:v>32.099999999999966</x:v>
      </x:c>
      <x:c r="G759" t="n">
        <x:f>MIN($B$6,D759)*$B$7+MAX($B$6-D759,0)*$B$9-$B$6*$B$8</x:f>
        <x:v>-22.900000000000034</x:v>
      </x:c>
      <x:c r="H759" t="n">
        <x:f>MAX(D759-$B$5,0)</x:f>
        <x:v>0</x:v>
      </x:c>
      <x:c r="I759" t="n">
        <x:f>MAX($B$5-D759,0)</x:f>
        <x:v>154</x:v>
      </x:c>
    </x:row>
    <x:row r="760">
      <x:c r="A760" t="n">
        <x:f>748</x:f>
        <x:v>748</x:v>
      </x:c>
      <x:c r="B760" t="n">
        <x:f>RAND()</x:f>
        <x:v>0.5478522905326956</x:v>
      </x:c>
      <x:c r="C760" t="n">
        <x:f>MIN(47,INT(B760*47)+1)</x:f>
        <x:v>26</x:v>
      </x:c>
      <x:c r="D760" t="n">
        <x:f>INDEX(Datos_47_semanas!$B$4:$B$50,C760)</x:f>
        <x:v>183</x:v>
      </x:c>
      <x:c r="E760" t="n">
        <x:f>MIN($B$4,D760)*$B$7+MAX($B$4-D760,0)*$B$9-$B$4*$B$8</x:f>
        <x:v>109.55000000000001</x:v>
      </x:c>
      <x:c r="F760" t="n">
        <x:f>MIN($B$5,D760)*$B$7+MAX($B$5-D760,0)*$B$9-$B$5*$B$8</x:f>
        <x:v>82.05000000000001</x:v>
      </x:c>
      <x:c r="G760" t="n">
        <x:f>MIN($B$6,D760)*$B$7+MAX($B$6-D760,0)*$B$9-$B$6*$B$8</x:f>
        <x:v>27.049999999999955</x:v>
      </x:c>
      <x:c r="H760" t="n">
        <x:f>MAX(D760-$B$5,0)</x:f>
        <x:v>0</x:v>
      </x:c>
      <x:c r="I760" t="n">
        <x:f>MAX($B$5-D760,0)</x:f>
        <x:v>117</x:v>
      </x:c>
    </x:row>
    <x:row r="761">
      <x:c r="A761" t="n">
        <x:f>749</x:f>
        <x:v>749</x:v>
      </x:c>
      <x:c r="B761" t="n">
        <x:f>RAND()</x:f>
        <x:v>0.5735386676595879</x:v>
      </x:c>
      <x:c r="C761" t="n">
        <x:f>MIN(47,INT(B761*47)+1)</x:f>
        <x:v>27</x:v>
      </x:c>
      <x:c r="D761" t="n">
        <x:f>INDEX(Datos_47_semanas!$B$4:$B$50,C761)</x:f>
        <x:v>293</x:v>
      </x:c>
      <x:c r="E761" t="n">
        <x:f>MIN($B$4,D761)*$B$7+MAX($B$4-D761,0)*$B$9-$B$4*$B$8</x:f>
        <x:v>200</x:v>
      </x:c>
      <x:c r="F761" t="n">
        <x:f>MIN($B$5,D761)*$B$7+MAX($B$5-D761,0)*$B$9-$B$5*$B$8</x:f>
        <x:v>230.55</x:v>
      </x:c>
      <x:c r="G761" t="n">
        <x:f>MIN($B$6,D761)*$B$7+MAX($B$6-D761,0)*$B$9-$B$6*$B$8</x:f>
        <x:v>175.54999999999995</x:v>
      </x:c>
      <x:c r="H761" t="n">
        <x:f>MAX(D761-$B$5,0)</x:f>
        <x:v>0</x:v>
      </x:c>
      <x:c r="I761" t="n">
        <x:f>MAX($B$5-D761,0)</x:f>
        <x:v>7</x:v>
      </x:c>
    </x:row>
    <x:row r="762">
      <x:c r="A762" t="n">
        <x:f>750</x:f>
        <x:v>750</x:v>
      </x:c>
      <x:c r="B762" t="n">
        <x:f>RAND()</x:f>
        <x:v>0.7104072792673777</x:v>
      </x:c>
      <x:c r="C762" t="n">
        <x:f>MIN(47,INT(B762*47)+1)</x:f>
        <x:v>34</x:v>
      </x:c>
      <x:c r="D762" t="n">
        <x:f>INDEX(Datos_47_semanas!$B$4:$B$50,C762)</x:f>
        <x:v>281</x:v>
      </x:c>
      <x:c r="E762" t="n">
        <x:f>MIN($B$4,D762)*$B$7+MAX($B$4-D762,0)*$B$9-$B$4*$B$8</x:f>
        <x:v>200</x:v>
      </x:c>
      <x:c r="F762" t="n">
        <x:f>MIN($B$5,D762)*$B$7+MAX($B$5-D762,0)*$B$9-$B$5*$B$8</x:f>
        <x:v>214.34999999999997</x:v>
      </x:c>
      <x:c r="G762" t="n">
        <x:f>MIN($B$6,D762)*$B$7+MAX($B$6-D762,0)*$B$9-$B$6*$B$8</x:f>
        <x:v>159.34999999999997</x:v>
      </x:c>
      <x:c r="H762" t="n">
        <x:f>MAX(D762-$B$5,0)</x:f>
        <x:v>0</x:v>
      </x:c>
      <x:c r="I762" t="n">
        <x:f>MAX($B$5-D762,0)</x:f>
        <x:v>19</x:v>
      </x:c>
    </x:row>
    <x:row r="763">
      <x:c r="A763" t="n">
        <x:f>751</x:f>
        <x:v>751</x:v>
      </x:c>
      <x:c r="B763" t="n">
        <x:f>RAND()</x:f>
        <x:v>0.19317231345837493</x:v>
      </x:c>
      <x:c r="C763" t="n">
        <x:f>MIN(47,INT(B763*47)+1)</x:f>
        <x:v>10</x:v>
      </x:c>
      <x:c r="D763" t="n">
        <x:f>INDEX(Datos_47_semanas!$B$4:$B$50,C763)</x:f>
        <x:v>98</x:v>
      </x:c>
      <x:c r="E763" t="n">
        <x:f>MIN($B$4,D763)*$B$7+MAX($B$4-D763,0)*$B$9-$B$4*$B$8</x:f>
        <x:v>-5.200000000000017</x:v>
      </x:c>
      <x:c r="F763" t="n">
        <x:f>MIN($B$5,D763)*$B$7+MAX($B$5-D763,0)*$B$9-$B$5*$B$8</x:f>
        <x:v>-32.70000000000002</x:v>
      </x:c>
      <x:c r="G763" t="n">
        <x:f>MIN($B$6,D763)*$B$7+MAX($B$6-D763,0)*$B$9-$B$6*$B$8</x:f>
        <x:v>-87.70000000000002</x:v>
      </x:c>
      <x:c r="H763" t="n">
        <x:f>MAX(D763-$B$5,0)</x:f>
        <x:v>0</x:v>
      </x:c>
      <x:c r="I763" t="n">
        <x:f>MAX($B$5-D763,0)</x:f>
        <x:v>202</x:v>
      </x:c>
    </x:row>
    <x:row r="764">
      <x:c r="A764" t="n">
        <x:f>752</x:f>
        <x:v>752</x:v>
      </x:c>
      <x:c r="B764" t="n">
        <x:f>RAND()</x:f>
        <x:v>0.45837681142030384</x:v>
      </x:c>
      <x:c r="C764" t="n">
        <x:f>MIN(47,INT(B764*47)+1)</x:f>
        <x:v>22</x:v>
      </x:c>
      <x:c r="D764" t="n">
        <x:f>INDEX(Datos_47_semanas!$B$4:$B$50,C764)</x:f>
        <x:v>171</x:v>
      </x:c>
      <x:c r="E764" t="n">
        <x:f>MIN($B$4,D764)*$B$7+MAX($B$4-D764,0)*$B$9-$B$4*$B$8</x:f>
        <x:v>93.34999999999997</x:v>
      </x:c>
      <x:c r="F764" t="n">
        <x:f>MIN($B$5,D764)*$B$7+MAX($B$5-D764,0)*$B$9-$B$5*$B$8</x:f>
        <x:v>65.84999999999997</x:v>
      </x:c>
      <x:c r="G764" t="n">
        <x:f>MIN($B$6,D764)*$B$7+MAX($B$6-D764,0)*$B$9-$B$6*$B$8</x:f>
        <x:v>10.849999999999966</x:v>
      </x:c>
      <x:c r="H764" t="n">
        <x:f>MAX(D764-$B$5,0)</x:f>
        <x:v>0</x:v>
      </x:c>
      <x:c r="I764" t="n">
        <x:f>MAX($B$5-D764,0)</x:f>
        <x:v>129</x:v>
      </x:c>
    </x:row>
    <x:row r="765">
      <x:c r="A765" t="n">
        <x:f>753</x:f>
        <x:v>753</x:v>
      </x:c>
      <x:c r="B765" t="n">
        <x:f>RAND()</x:f>
        <x:v>0.45063106614994386</x:v>
      </x:c>
      <x:c r="C765" t="n">
        <x:f>MIN(47,INT(B765*47)+1)</x:f>
        <x:v>22</x:v>
      </x:c>
      <x:c r="D765" t="n">
        <x:f>INDEX(Datos_47_semanas!$B$4:$B$50,C765)</x:f>
        <x:v>171</x:v>
      </x:c>
      <x:c r="E765" t="n">
        <x:f>MIN($B$4,D765)*$B$7+MAX($B$4-D765,0)*$B$9-$B$4*$B$8</x:f>
        <x:v>93.34999999999997</x:v>
      </x:c>
      <x:c r="F765" t="n">
        <x:f>MIN($B$5,D765)*$B$7+MAX($B$5-D765,0)*$B$9-$B$5*$B$8</x:f>
        <x:v>65.84999999999997</x:v>
      </x:c>
      <x:c r="G765" t="n">
        <x:f>MIN($B$6,D765)*$B$7+MAX($B$6-D765,0)*$B$9-$B$6*$B$8</x:f>
        <x:v>10.849999999999966</x:v>
      </x:c>
      <x:c r="H765" t="n">
        <x:f>MAX(D765-$B$5,0)</x:f>
        <x:v>0</x:v>
      </x:c>
      <x:c r="I765" t="n">
        <x:f>MAX($B$5-D765,0)</x:f>
        <x:v>129</x:v>
      </x:c>
    </x:row>
    <x:row r="766">
      <x:c r="A766" t="n">
        <x:f>754</x:f>
        <x:v>754</x:v>
      </x:c>
      <x:c r="B766" t="n">
        <x:f>RAND()</x:f>
        <x:v>0.5660058612574459</x:v>
      </x:c>
      <x:c r="C766" t="n">
        <x:f>MIN(47,INT(B766*47)+1)</x:f>
        <x:v>27</x:v>
      </x:c>
      <x:c r="D766" t="n">
        <x:f>INDEX(Datos_47_semanas!$B$4:$B$50,C766)</x:f>
        <x:v>293</x:v>
      </x:c>
      <x:c r="E766" t="n">
        <x:f>MIN($B$4,D766)*$B$7+MAX($B$4-D766,0)*$B$9-$B$4*$B$8</x:f>
        <x:v>200</x:v>
      </x:c>
      <x:c r="F766" t="n">
        <x:f>MIN($B$5,D766)*$B$7+MAX($B$5-D766,0)*$B$9-$B$5*$B$8</x:f>
        <x:v>230.55</x:v>
      </x:c>
      <x:c r="G766" t="n">
        <x:f>MIN($B$6,D766)*$B$7+MAX($B$6-D766,0)*$B$9-$B$6*$B$8</x:f>
        <x:v>175.54999999999995</x:v>
      </x:c>
      <x:c r="H766" t="n">
        <x:f>MAX(D766-$B$5,0)</x:f>
        <x:v>0</x:v>
      </x:c>
      <x:c r="I766" t="n">
        <x:f>MAX($B$5-D766,0)</x:f>
        <x:v>7</x:v>
      </x:c>
    </x:row>
    <x:row r="767">
      <x:c r="A767" t="n">
        <x:f>755</x:f>
        <x:v>755</x:v>
      </x:c>
      <x:c r="B767" t="n">
        <x:f>RAND()</x:f>
        <x:v>0.48680040462500307</x:v>
      </x:c>
      <x:c r="C767" t="n">
        <x:f>MIN(47,INT(B767*47)+1)</x:f>
        <x:v>23</x:v>
      </x:c>
      <x:c r="D767" t="n">
        <x:f>INDEX(Datos_47_semanas!$B$4:$B$50,C767)</x:f>
        <x:v>565</x:v>
      </x:c>
      <x:c r="E767" t="n">
        <x:f>MIN($B$4,D767)*$B$7+MAX($B$4-D767,0)*$B$9-$B$4*$B$8</x:f>
        <x:v>200</x:v>
      </x:c>
      <x:c r="F767" t="n">
        <x:f>MIN($B$5,D767)*$B$7+MAX($B$5-D767,0)*$B$9-$B$5*$B$8</x:f>
        <x:v>240</x:v>
      </x:c>
      <x:c r="G767" t="n">
        <x:f>MIN($B$6,D767)*$B$7+MAX($B$6-D767,0)*$B$9-$B$6*$B$8</x:f>
        <x:v>320</x:v>
      </x:c>
      <x:c r="H767" t="n">
        <x:f>MAX(D767-$B$5,0)</x:f>
        <x:v>265</x:v>
      </x:c>
      <x:c r="I767" t="n">
        <x:f>MAX($B$5-D767,0)</x:f>
        <x:v>0</x:v>
      </x:c>
    </x:row>
    <x:row r="768">
      <x:c r="A768" t="n">
        <x:f>756</x:f>
        <x:v>756</x:v>
      </x:c>
      <x:c r="B768" t="n">
        <x:f>RAND()</x:f>
        <x:v>0.6517240853559291</x:v>
      </x:c>
      <x:c r="C768" t="n">
        <x:f>MIN(47,INT(B768*47)+1)</x:f>
        <x:v>31</x:v>
      </x:c>
      <x:c r="D768" t="n">
        <x:f>INDEX(Datos_47_semanas!$B$4:$B$50,C768)</x:f>
        <x:v>583</x:v>
      </x:c>
      <x:c r="E768" t="n">
        <x:f>MIN($B$4,D768)*$B$7+MAX($B$4-D768,0)*$B$9-$B$4*$B$8</x:f>
        <x:v>200</x:v>
      </x:c>
      <x:c r="F768" t="n">
        <x:f>MIN($B$5,D768)*$B$7+MAX($B$5-D768,0)*$B$9-$B$5*$B$8</x:f>
        <x:v>240</x:v>
      </x:c>
      <x:c r="G768" t="n">
        <x:f>MIN($B$6,D768)*$B$7+MAX($B$6-D768,0)*$B$9-$B$6*$B$8</x:f>
        <x:v>320</x:v>
      </x:c>
      <x:c r="H768" t="n">
        <x:f>MAX(D768-$B$5,0)</x:f>
        <x:v>283</x:v>
      </x:c>
      <x:c r="I768" t="n">
        <x:f>MAX($B$5-D768,0)</x:f>
        <x:v>0</x:v>
      </x:c>
    </x:row>
    <x:row r="769">
      <x:c r="A769" t="n">
        <x:f>757</x:f>
        <x:v>757</x:v>
      </x:c>
      <x:c r="B769" t="n">
        <x:f>RAND()</x:f>
        <x:v>0.44657887619806613</x:v>
      </x:c>
      <x:c r="C769" t="n">
        <x:f>MIN(47,INT(B769*47)+1)</x:f>
        <x:v>21</x:v>
      </x:c>
      <x:c r="D769" t="n">
        <x:f>INDEX(Datos_47_semanas!$B$4:$B$50,C769)</x:f>
        <x:v>424</x:v>
      </x:c>
      <x:c r="E769" t="n">
        <x:f>MIN($B$4,D769)*$B$7+MAX($B$4-D769,0)*$B$9-$B$4*$B$8</x:f>
        <x:v>200</x:v>
      </x:c>
      <x:c r="F769" t="n">
        <x:f>MIN($B$5,D769)*$B$7+MAX($B$5-D769,0)*$B$9-$B$5*$B$8</x:f>
        <x:v>240</x:v>
      </x:c>
      <x:c r="G769" t="n">
        <x:f>MIN($B$6,D769)*$B$7+MAX($B$6-D769,0)*$B$9-$B$6*$B$8</x:f>
        <x:v>320</x:v>
      </x:c>
      <x:c r="H769" t="n">
        <x:f>MAX(D769-$B$5,0)</x:f>
        <x:v>124</x:v>
      </x:c>
      <x:c r="I769" t="n">
        <x:f>MAX($B$5-D769,0)</x:f>
        <x:v>0</x:v>
      </x:c>
    </x:row>
    <x:row r="770">
      <x:c r="A770" t="n">
        <x:f>758</x:f>
        <x:v>758</x:v>
      </x:c>
      <x:c r="B770" t="n">
        <x:f>RAND()</x:f>
        <x:v>0.6744731106991441</x:v>
      </x:c>
      <x:c r="C770" t="n">
        <x:f>MIN(47,INT(B770*47)+1)</x:f>
        <x:v>32</x:v>
      </x:c>
      <x:c r="D770" t="n">
        <x:f>INDEX(Datos_47_semanas!$B$4:$B$50,C770)</x:f>
        <x:v>575</x:v>
      </x:c>
      <x:c r="E770" t="n">
        <x:f>MIN($B$4,D770)*$B$7+MAX($B$4-D770,0)*$B$9-$B$4*$B$8</x:f>
        <x:v>200</x:v>
      </x:c>
      <x:c r="F770" t="n">
        <x:f>MIN($B$5,D770)*$B$7+MAX($B$5-D770,0)*$B$9-$B$5*$B$8</x:f>
        <x:v>240</x:v>
      </x:c>
      <x:c r="G770" t="n">
        <x:f>MIN($B$6,D770)*$B$7+MAX($B$6-D770,0)*$B$9-$B$6*$B$8</x:f>
        <x:v>320</x:v>
      </x:c>
      <x:c r="H770" t="n">
        <x:f>MAX(D770-$B$5,0)</x:f>
        <x:v>275</x:v>
      </x:c>
      <x:c r="I770" t="n">
        <x:f>MAX($B$5-D770,0)</x:f>
        <x:v>0</x:v>
      </x:c>
    </x:row>
    <x:row r="771">
      <x:c r="A771" t="n">
        <x:f>759</x:f>
        <x:v>759</x:v>
      </x:c>
      <x:c r="B771" t="n">
        <x:f>RAND()</x:f>
        <x:v>0.32800886450064104</x:v>
      </x:c>
      <x:c r="C771" t="n">
        <x:f>MIN(47,INT(B771*47)+1)</x:f>
        <x:v>16</x:v>
      </x:c>
      <x:c r="D771" t="n">
        <x:f>INDEX(Datos_47_semanas!$B$4:$B$50,C771)</x:f>
        <x:v>318</x:v>
      </x:c>
      <x:c r="E771" t="n">
        <x:f>MIN($B$4,D771)*$B$7+MAX($B$4-D771,0)*$B$9-$B$4*$B$8</x:f>
        <x:v>200</x:v>
      </x:c>
      <x:c r="F771" t="n">
        <x:f>MIN($B$5,D771)*$B$7+MAX($B$5-D771,0)*$B$9-$B$5*$B$8</x:f>
        <x:v>240</x:v>
      </x:c>
      <x:c r="G771" t="n">
        <x:f>MIN($B$6,D771)*$B$7+MAX($B$6-D771,0)*$B$9-$B$6*$B$8</x:f>
        <x:v>209.29999999999995</x:v>
      </x:c>
      <x:c r="H771" t="n">
        <x:f>MAX(D771-$B$5,0)</x:f>
        <x:v>18</x:v>
      </x:c>
      <x:c r="I771" t="n">
        <x:f>MAX($B$5-D771,0)</x:f>
        <x:v>0</x:v>
      </x:c>
    </x:row>
    <x:row r="772">
      <x:c r="A772" t="n">
        <x:f>760</x:f>
        <x:v>760</x:v>
      </x:c>
      <x:c r="B772" t="n">
        <x:f>RAND()</x:f>
        <x:v>0.06005115863828403</x:v>
      </x:c>
      <x:c r="C772" t="n">
        <x:f>MIN(47,INT(B772*47)+1)</x:f>
        <x:v>3</x:v>
      </x:c>
      <x:c r="D772" t="n">
        <x:f>INDEX(Datos_47_semanas!$B$4:$B$50,C772)</x:f>
        <x:v>128</x:v>
      </x:c>
      <x:c r="E772" t="n">
        <x:f>MIN($B$4,D772)*$B$7+MAX($B$4-D772,0)*$B$9-$B$4*$B$8</x:f>
        <x:v>35.29999999999998</x:v>
      </x:c>
      <x:c r="F772" t="n">
        <x:f>MIN($B$5,D772)*$B$7+MAX($B$5-D772,0)*$B$9-$B$5*$B$8</x:f>
        <x:v>7.800000000000011</x:v>
      </x:c>
      <x:c r="G772" t="n">
        <x:f>MIN($B$6,D772)*$B$7+MAX($B$6-D772,0)*$B$9-$B$6*$B$8</x:f>
        <x:v>-47.200000000000045</x:v>
      </x:c>
      <x:c r="H772" t="n">
        <x:f>MAX(D772-$B$5,0)</x:f>
        <x:v>0</x:v>
      </x:c>
      <x:c r="I772" t="n">
        <x:f>MAX($B$5-D772,0)</x:f>
        <x:v>172</x:v>
      </x:c>
    </x:row>
    <x:row r="773">
      <x:c r="A773" t="n">
        <x:f>761</x:f>
        <x:v>761</x:v>
      </x:c>
      <x:c r="B773" t="n">
        <x:f>RAND()</x:f>
        <x:v>0.3912092562619742</x:v>
      </x:c>
      <x:c r="C773" t="n">
        <x:f>MIN(47,INT(B773*47)+1)</x:f>
        <x:v>19</x:v>
      </x:c>
      <x:c r="D773" t="n">
        <x:f>INDEX(Datos_47_semanas!$B$4:$B$50,C773)</x:f>
        <x:v>470</x:v>
      </x:c>
      <x:c r="E773" t="n">
        <x:f>MIN($B$4,D773)*$B$7+MAX($B$4-D773,0)*$B$9-$B$4*$B$8</x:f>
        <x:v>200</x:v>
      </x:c>
      <x:c r="F773" t="n">
        <x:f>MIN($B$5,D773)*$B$7+MAX($B$5-D773,0)*$B$9-$B$5*$B$8</x:f>
        <x:v>240</x:v>
      </x:c>
      <x:c r="G773" t="n">
        <x:f>MIN($B$6,D773)*$B$7+MAX($B$6-D773,0)*$B$9-$B$6*$B$8</x:f>
        <x:v>320</x:v>
      </x:c>
      <x:c r="H773" t="n">
        <x:f>MAX(D773-$B$5,0)</x:f>
        <x:v>170</x:v>
      </x:c>
      <x:c r="I773" t="n">
        <x:f>MAX($B$5-D773,0)</x:f>
        <x:v>0</x:v>
      </x:c>
    </x:row>
    <x:row r="774">
      <x:c r="A774" t="n">
        <x:f>762</x:f>
        <x:v>762</x:v>
      </x:c>
      <x:c r="B774" t="n">
        <x:f>RAND()</x:f>
        <x:v>0.08037766896390819</x:v>
      </x:c>
      <x:c r="C774" t="n">
        <x:f>MIN(47,INT(B774*47)+1)</x:f>
        <x:v>4</x:v>
      </x:c>
      <x:c r="D774" t="n">
        <x:f>INDEX(Datos_47_semanas!$B$4:$B$50,C774)</x:f>
        <x:v>161</x:v>
      </x:c>
      <x:c r="E774" t="n">
        <x:f>MIN($B$4,D774)*$B$7+MAX($B$4-D774,0)*$B$9-$B$4*$B$8</x:f>
        <x:v>79.84999999999997</x:v>
      </x:c>
      <x:c r="F774" t="n">
        <x:f>MIN($B$5,D774)*$B$7+MAX($B$5-D774,0)*$B$9-$B$5*$B$8</x:f>
        <x:v>52.349999999999966</x:v>
      </x:c>
      <x:c r="G774" t="n">
        <x:f>MIN($B$6,D774)*$B$7+MAX($B$6-D774,0)*$B$9-$B$6*$B$8</x:f>
        <x:v>-2.650000000000034</x:v>
      </x:c>
      <x:c r="H774" t="n">
        <x:f>MAX(D774-$B$5,0)</x:f>
        <x:v>0</x:v>
      </x:c>
      <x:c r="I774" t="n">
        <x:f>MAX($B$5-D774,0)</x:f>
        <x:v>139</x:v>
      </x:c>
    </x:row>
    <x:row r="775">
      <x:c r="A775" t="n">
        <x:f>763</x:f>
        <x:v>763</x:v>
      </x:c>
      <x:c r="B775" t="n">
        <x:f>RAND()</x:f>
        <x:v>0.3482422894419722</x:v>
      </x:c>
      <x:c r="C775" t="n">
        <x:f>MIN(47,INT(B775*47)+1)</x:f>
        <x:v>17</x:v>
      </x:c>
      <x:c r="D775" t="n">
        <x:f>INDEX(Datos_47_semanas!$B$4:$B$50,C775)</x:f>
        <x:v>154</x:v>
      </x:c>
      <x:c r="E775" t="n">
        <x:f>MIN($B$4,D775)*$B$7+MAX($B$4-D775,0)*$B$9-$B$4*$B$8</x:f>
        <x:v>70.39999999999998</x:v>
      </x:c>
      <x:c r="F775" t="n">
        <x:f>MIN($B$5,D775)*$B$7+MAX($B$5-D775,0)*$B$9-$B$5*$B$8</x:f>
        <x:v>42.89999999999998</x:v>
      </x:c>
      <x:c r="G775" t="n">
        <x:f>MIN($B$6,D775)*$B$7+MAX($B$6-D775,0)*$B$9-$B$6*$B$8</x:f>
        <x:v>-12.100000000000023</x:v>
      </x:c>
      <x:c r="H775" t="n">
        <x:f>MAX(D775-$B$5,0)</x:f>
        <x:v>0</x:v>
      </x:c>
      <x:c r="I775" t="n">
        <x:f>MAX($B$5-D775,0)</x:f>
        <x:v>146</x:v>
      </x:c>
    </x:row>
    <x:row r="776">
      <x:c r="A776" t="n">
        <x:f>764</x:f>
        <x:v>764</x:v>
      </x:c>
      <x:c r="B776" t="n">
        <x:f>RAND()</x:f>
        <x:v>0.5799702141917618</x:v>
      </x:c>
      <x:c r="C776" t="n">
        <x:f>MIN(47,INT(B776*47)+1)</x:f>
        <x:v>28</x:v>
      </x:c>
      <x:c r="D776" t="n">
        <x:f>INDEX(Datos_47_semanas!$B$4:$B$50,C776)</x:f>
        <x:v>201</x:v>
      </x:c>
      <x:c r="E776" t="n">
        <x:f>MIN($B$4,D776)*$B$7+MAX($B$4-D776,0)*$B$9-$B$4*$B$8</x:f>
        <x:v>133.84999999999997</x:v>
      </x:c>
      <x:c r="F776" t="n">
        <x:f>MIN($B$5,D776)*$B$7+MAX($B$5-D776,0)*$B$9-$B$5*$B$8</x:f>
        <x:v>106.34999999999997</x:v>
      </x:c>
      <x:c r="G776" t="n">
        <x:f>MIN($B$6,D776)*$B$7+MAX($B$6-D776,0)*$B$9-$B$6*$B$8</x:f>
        <x:v>51.349999999999966</x:v>
      </x:c>
      <x:c r="H776" t="n">
        <x:f>MAX(D776-$B$5,0)</x:f>
        <x:v>0</x:v>
      </x:c>
      <x:c r="I776" t="n">
        <x:f>MAX($B$5-D776,0)</x:f>
        <x:v>99</x:v>
      </x:c>
    </x:row>
    <x:row r="777">
      <x:c r="A777" t="n">
        <x:f>765</x:f>
        <x:v>765</x:v>
      </x:c>
      <x:c r="B777" t="n">
        <x:f>RAND()</x:f>
        <x:v>0.3005575621230253</x:v>
      </x:c>
      <x:c r="C777" t="n">
        <x:f>MIN(47,INT(B777*47)+1)</x:f>
        <x:v>15</x:v>
      </x:c>
      <x:c r="D777" t="n">
        <x:f>INDEX(Datos_47_semanas!$B$4:$B$50,C777)</x:f>
        <x:v>275</x:v>
      </x:c>
      <x:c r="E777" t="n">
        <x:f>MIN($B$4,D777)*$B$7+MAX($B$4-D777,0)*$B$9-$B$4*$B$8</x:f>
        <x:v>200</x:v>
      </x:c>
      <x:c r="F777" t="n">
        <x:f>MIN($B$5,D777)*$B$7+MAX($B$5-D777,0)*$B$9-$B$5*$B$8</x:f>
        <x:v>206.25</x:v>
      </x:c>
      <x:c r="G777" t="n">
        <x:f>MIN($B$6,D777)*$B$7+MAX($B$6-D777,0)*$B$9-$B$6*$B$8</x:f>
        <x:v>151.25</x:v>
      </x:c>
      <x:c r="H777" t="n">
        <x:f>MAX(D777-$B$5,0)</x:f>
        <x:v>0</x:v>
      </x:c>
      <x:c r="I777" t="n">
        <x:f>MAX($B$5-D777,0)</x:f>
        <x:v>25</x:v>
      </x:c>
    </x:row>
    <x:row r="778">
      <x:c r="A778" t="n">
        <x:f>766</x:f>
        <x:v>766</x:v>
      </x:c>
      <x:c r="B778" t="n">
        <x:f>RAND()</x:f>
        <x:v>0.3800433622569511</x:v>
      </x:c>
      <x:c r="C778" t="n">
        <x:f>MIN(47,INT(B778*47)+1)</x:f>
        <x:v>18</x:v>
      </x:c>
      <x:c r="D778" t="n">
        <x:f>INDEX(Datos_47_semanas!$B$4:$B$50,C778)</x:f>
        <x:v>219</x:v>
      </x:c>
      <x:c r="E778" t="n">
        <x:f>MIN($B$4,D778)*$B$7+MAX($B$4-D778,0)*$B$9-$B$4*$B$8</x:f>
        <x:v>158.14999999999998</x:v>
      </x:c>
      <x:c r="F778" t="n">
        <x:f>MIN($B$5,D778)*$B$7+MAX($B$5-D778,0)*$B$9-$B$5*$B$8</x:f>
        <x:v>130.64999999999998</x:v>
      </x:c>
      <x:c r="G778" t="n">
        <x:f>MIN($B$6,D778)*$B$7+MAX($B$6-D778,0)*$B$9-$B$6*$B$8</x:f>
        <x:v>75.64999999999998</x:v>
      </x:c>
      <x:c r="H778" t="n">
        <x:f>MAX(D778-$B$5,0)</x:f>
        <x:v>0</x:v>
      </x:c>
      <x:c r="I778" t="n">
        <x:f>MAX($B$5-D778,0)</x:f>
        <x:v>81</x:v>
      </x:c>
    </x:row>
    <x:row r="779">
      <x:c r="A779" t="n">
        <x:f>767</x:f>
        <x:v>767</x:v>
      </x:c>
      <x:c r="B779" t="n">
        <x:f>RAND()</x:f>
        <x:v>0.2471616276640447</x:v>
      </x:c>
      <x:c r="C779" t="n">
        <x:f>MIN(47,INT(B779*47)+1)</x:f>
        <x:v>12</x:v>
      </x:c>
      <x:c r="D779" t="n">
        <x:f>INDEX(Datos_47_semanas!$B$4:$B$50,C779)</x:f>
        <x:v>336</x:v>
      </x:c>
      <x:c r="E779" t="n">
        <x:f>MIN($B$4,D779)*$B$7+MAX($B$4-D779,0)*$B$9-$B$4*$B$8</x:f>
        <x:v>200</x:v>
      </x:c>
      <x:c r="F779" t="n">
        <x:f>MIN($B$5,D779)*$B$7+MAX($B$5-D779,0)*$B$9-$B$5*$B$8</x:f>
        <x:v>240</x:v>
      </x:c>
      <x:c r="G779" t="n">
        <x:f>MIN($B$6,D779)*$B$7+MAX($B$6-D779,0)*$B$9-$B$6*$B$8</x:f>
        <x:v>233.60000000000002</x:v>
      </x:c>
      <x:c r="H779" t="n">
        <x:f>MAX(D779-$B$5,0)</x:f>
        <x:v>36</x:v>
      </x:c>
      <x:c r="I779" t="n">
        <x:f>MAX($B$5-D779,0)</x:f>
        <x:v>0</x:v>
      </x:c>
    </x:row>
    <x:row r="780">
      <x:c r="A780" t="n">
        <x:f>768</x:f>
        <x:v>768</x:v>
      </x:c>
      <x:c r="B780" t="n">
        <x:f>RAND()</x:f>
        <x:v>0.15287784355328615</x:v>
      </x:c>
      <x:c r="C780" t="n">
        <x:f>MIN(47,INT(B780*47)+1)</x:f>
        <x:v>8</x:v>
      </x:c>
      <x:c r="D780" t="n">
        <x:f>INDEX(Datos_47_semanas!$B$4:$B$50,C780)</x:f>
        <x:v>259</x:v>
      </x:c>
      <x:c r="E780" t="n">
        <x:f>MIN($B$4,D780)*$B$7+MAX($B$4-D780,0)*$B$9-$B$4*$B$8</x:f>
        <x:v>200</x:v>
      </x:c>
      <x:c r="F780" t="n">
        <x:f>MIN($B$5,D780)*$B$7+MAX($B$5-D780,0)*$B$9-$B$5*$B$8</x:f>
        <x:v>184.64999999999998</x:v>
      </x:c>
      <x:c r="G780" t="n">
        <x:f>MIN($B$6,D780)*$B$7+MAX($B$6-D780,0)*$B$9-$B$6*$B$8</x:f>
        <x:v>129.64999999999998</x:v>
      </x:c>
      <x:c r="H780" t="n">
        <x:f>MAX(D780-$B$5,0)</x:f>
        <x:v>0</x:v>
      </x:c>
      <x:c r="I780" t="n">
        <x:f>MAX($B$5-D780,0)</x:f>
        <x:v>41</x:v>
      </x:c>
    </x:row>
    <x:row r="781">
      <x:c r="A781" t="n">
        <x:f>769</x:f>
        <x:v>769</x:v>
      </x:c>
      <x:c r="B781" t="n">
        <x:f>RAND()</x:f>
        <x:v>0.674598967717002</x:v>
      </x:c>
      <x:c r="C781" t="n">
        <x:f>MIN(47,INT(B781*47)+1)</x:f>
        <x:v>32</x:v>
      </x:c>
      <x:c r="D781" t="n">
        <x:f>INDEX(Datos_47_semanas!$B$4:$B$50,C781)</x:f>
        <x:v>575</x:v>
      </x:c>
      <x:c r="E781" t="n">
        <x:f>MIN($B$4,D781)*$B$7+MAX($B$4-D781,0)*$B$9-$B$4*$B$8</x:f>
        <x:v>200</x:v>
      </x:c>
      <x:c r="F781" t="n">
        <x:f>MIN($B$5,D781)*$B$7+MAX($B$5-D781,0)*$B$9-$B$5*$B$8</x:f>
        <x:v>240</x:v>
      </x:c>
      <x:c r="G781" t="n">
        <x:f>MIN($B$6,D781)*$B$7+MAX($B$6-D781,0)*$B$9-$B$6*$B$8</x:f>
        <x:v>320</x:v>
      </x:c>
      <x:c r="H781" t="n">
        <x:f>MAX(D781-$B$5,0)</x:f>
        <x:v>275</x:v>
      </x:c>
      <x:c r="I781" t="n">
        <x:f>MAX($B$5-D781,0)</x:f>
        <x:v>0</x:v>
      </x:c>
    </x:row>
    <x:row r="782">
      <x:c r="A782" t="n">
        <x:f>770</x:f>
        <x:v>770</x:v>
      </x:c>
      <x:c r="B782" t="n">
        <x:f>RAND()</x:f>
        <x:v>0.88790301006074</x:v>
      </x:c>
      <x:c r="C782" t="n">
        <x:f>MIN(47,INT(B782*47)+1)</x:f>
        <x:v>42</x:v>
      </x:c>
      <x:c r="D782" t="n">
        <x:f>INDEX(Datos_47_semanas!$B$4:$B$50,C782)</x:f>
        <x:v>146</x:v>
      </x:c>
      <x:c r="E782" t="n">
        <x:f>MIN($B$4,D782)*$B$7+MAX($B$4-D782,0)*$B$9-$B$4*$B$8</x:f>
        <x:v>59.599999999999966</x:v>
      </x:c>
      <x:c r="F782" t="n">
        <x:f>MIN($B$5,D782)*$B$7+MAX($B$5-D782,0)*$B$9-$B$5*$B$8</x:f>
        <x:v>32.099999999999966</x:v>
      </x:c>
      <x:c r="G782" t="n">
        <x:f>MIN($B$6,D782)*$B$7+MAX($B$6-D782,0)*$B$9-$B$6*$B$8</x:f>
        <x:v>-22.900000000000034</x:v>
      </x:c>
      <x:c r="H782" t="n">
        <x:f>MAX(D782-$B$5,0)</x:f>
        <x:v>0</x:v>
      </x:c>
      <x:c r="I782" t="n">
        <x:f>MAX($B$5-D782,0)</x:f>
        <x:v>154</x:v>
      </x:c>
    </x:row>
    <x:row r="783">
      <x:c r="A783" t="n">
        <x:f>771</x:f>
        <x:v>771</x:v>
      </x:c>
      <x:c r="B783" t="n">
        <x:f>RAND()</x:f>
        <x:v>0.5973164546061399</x:v>
      </x:c>
      <x:c r="C783" t="n">
        <x:f>MIN(47,INT(B783*47)+1)</x:f>
        <x:v>29</x:v>
      </x:c>
      <x:c r="D783" t="n">
        <x:f>INDEX(Datos_47_semanas!$B$4:$B$50,C783)</x:f>
        <x:v>415</x:v>
      </x:c>
      <x:c r="E783" t="n">
        <x:f>MIN($B$4,D783)*$B$7+MAX($B$4-D783,0)*$B$9-$B$4*$B$8</x:f>
        <x:v>200</x:v>
      </x:c>
      <x:c r="F783" t="n">
        <x:f>MIN($B$5,D783)*$B$7+MAX($B$5-D783,0)*$B$9-$B$5*$B$8</x:f>
        <x:v>240</x:v>
      </x:c>
      <x:c r="G783" t="n">
        <x:f>MIN($B$6,D783)*$B$7+MAX($B$6-D783,0)*$B$9-$B$6*$B$8</x:f>
        <x:v>320</x:v>
      </x:c>
      <x:c r="H783" t="n">
        <x:f>MAX(D783-$B$5,0)</x:f>
        <x:v>115</x:v>
      </x:c>
      <x:c r="I783" t="n">
        <x:f>MAX($B$5-D783,0)</x:f>
        <x:v>0</x:v>
      </x:c>
    </x:row>
    <x:row r="784">
      <x:c r="A784" t="n">
        <x:f>772</x:f>
        <x:v>772</x:v>
      </x:c>
      <x:c r="B784" t="n">
        <x:f>RAND()</x:f>
        <x:v>0.32650130423086143</x:v>
      </x:c>
      <x:c r="C784" t="n">
        <x:f>MIN(47,INT(B784*47)+1)</x:f>
        <x:v>16</x:v>
      </x:c>
      <x:c r="D784" t="n">
        <x:f>INDEX(Datos_47_semanas!$B$4:$B$50,C784)</x:f>
        <x:v>318</x:v>
      </x:c>
      <x:c r="E784" t="n">
        <x:f>MIN($B$4,D784)*$B$7+MAX($B$4-D784,0)*$B$9-$B$4*$B$8</x:f>
        <x:v>200</x:v>
      </x:c>
      <x:c r="F784" t="n">
        <x:f>MIN($B$5,D784)*$B$7+MAX($B$5-D784,0)*$B$9-$B$5*$B$8</x:f>
        <x:v>240</x:v>
      </x:c>
      <x:c r="G784" t="n">
        <x:f>MIN($B$6,D784)*$B$7+MAX($B$6-D784,0)*$B$9-$B$6*$B$8</x:f>
        <x:v>209.29999999999995</x:v>
      </x:c>
      <x:c r="H784" t="n">
        <x:f>MAX(D784-$B$5,0)</x:f>
        <x:v>18</x:v>
      </x:c>
      <x:c r="I784" t="n">
        <x:f>MAX($B$5-D784,0)</x:f>
        <x:v>0</x:v>
      </x:c>
    </x:row>
    <x:row r="785">
      <x:c r="A785" t="n">
        <x:f>773</x:f>
        <x:v>773</x:v>
      </x:c>
      <x:c r="B785" t="n">
        <x:f>RAND()</x:f>
        <x:v>0.6428940225257265</x:v>
      </x:c>
      <x:c r="C785" t="n">
        <x:f>MIN(47,INT(B785*47)+1)</x:f>
        <x:v>31</x:v>
      </x:c>
      <x:c r="D785" t="n">
        <x:f>INDEX(Datos_47_semanas!$B$4:$B$50,C785)</x:f>
        <x:v>583</x:v>
      </x:c>
      <x:c r="E785" t="n">
        <x:f>MIN($B$4,D785)*$B$7+MAX($B$4-D785,0)*$B$9-$B$4*$B$8</x:f>
        <x:v>200</x:v>
      </x:c>
      <x:c r="F785" t="n">
        <x:f>MIN($B$5,D785)*$B$7+MAX($B$5-D785,0)*$B$9-$B$5*$B$8</x:f>
        <x:v>240</x:v>
      </x:c>
      <x:c r="G785" t="n">
        <x:f>MIN($B$6,D785)*$B$7+MAX($B$6-D785,0)*$B$9-$B$6*$B$8</x:f>
        <x:v>320</x:v>
      </x:c>
      <x:c r="H785" t="n">
        <x:f>MAX(D785-$B$5,0)</x:f>
        <x:v>283</x:v>
      </x:c>
      <x:c r="I785" t="n">
        <x:f>MAX($B$5-D785,0)</x:f>
        <x:v>0</x:v>
      </x:c>
    </x:row>
    <x:row r="786">
      <x:c r="A786" t="n">
        <x:f>774</x:f>
        <x:v>774</x:v>
      </x:c>
      <x:c r="B786" t="n">
        <x:f>RAND()</x:f>
        <x:v>0.804091796272028</x:v>
      </x:c>
      <x:c r="C786" t="n">
        <x:f>MIN(47,INT(B786*47)+1)</x:f>
        <x:v>38</x:v>
      </x:c>
      <x:c r="D786" t="n">
        <x:f>INDEX(Datos_47_semanas!$B$4:$B$50,C786)</x:f>
        <x:v>212</x:v>
      </x:c>
      <x:c r="E786" t="n">
        <x:f>MIN($B$4,D786)*$B$7+MAX($B$4-D786,0)*$B$9-$B$4*$B$8</x:f>
        <x:v>148.69999999999993</x:v>
      </x:c>
      <x:c r="F786" t="n">
        <x:f>MIN($B$5,D786)*$B$7+MAX($B$5-D786,0)*$B$9-$B$5*$B$8</x:f>
        <x:v>121.19999999999993</x:v>
      </x:c>
      <x:c r="G786" t="n">
        <x:f>MIN($B$6,D786)*$B$7+MAX($B$6-D786,0)*$B$9-$B$6*$B$8</x:f>
        <x:v>66.19999999999993</x:v>
      </x:c>
      <x:c r="H786" t="n">
        <x:f>MAX(D786-$B$5,0)</x:f>
        <x:v>0</x:v>
      </x:c>
      <x:c r="I786" t="n">
        <x:f>MAX($B$5-D786,0)</x:f>
        <x:v>88</x:v>
      </x:c>
    </x:row>
    <x:row r="787">
      <x:c r="A787" t="n">
        <x:f>775</x:f>
        <x:v>775</x:v>
      </x:c>
      <x:c r="B787" t="n">
        <x:f>RAND()</x:f>
        <x:v>0.09578516499929113</x:v>
      </x:c>
      <x:c r="C787" t="n">
        <x:f>MIN(47,INT(B787*47)+1)</x:f>
        <x:v>5</x:v>
      </x:c>
      <x:c r="D787" t="n">
        <x:f>INDEX(Datos_47_semanas!$B$4:$B$50,C787)</x:f>
        <x:v>347</x:v>
      </x:c>
      <x:c r="E787" t="n">
        <x:f>MIN($B$4,D787)*$B$7+MAX($B$4-D787,0)*$B$9-$B$4*$B$8</x:f>
        <x:v>200</x:v>
      </x:c>
      <x:c r="F787" t="n">
        <x:f>MIN($B$5,D787)*$B$7+MAX($B$5-D787,0)*$B$9-$B$5*$B$8</x:f>
        <x:v>240</x:v>
      </x:c>
      <x:c r="G787" t="n">
        <x:f>MIN($B$6,D787)*$B$7+MAX($B$6-D787,0)*$B$9-$B$6*$B$8</x:f>
        <x:v>248.44999999999993</x:v>
      </x:c>
      <x:c r="H787" t="n">
        <x:f>MAX(D787-$B$5,0)</x:f>
        <x:v>47</x:v>
      </x:c>
      <x:c r="I787" t="n">
        <x:f>MAX($B$5-D787,0)</x:f>
        <x:v>0</x:v>
      </x:c>
    </x:row>
    <x:row r="788">
      <x:c r="A788" t="n">
        <x:f>776</x:f>
        <x:v>776</x:v>
      </x:c>
      <x:c r="B788" t="n">
        <x:f>RAND()</x:f>
        <x:v>0.7354200714979507</x:v>
      </x:c>
      <x:c r="C788" t="n">
        <x:f>MIN(47,INT(B788*47)+1)</x:f>
        <x:v>35</x:v>
      </x:c>
      <x:c r="D788" t="n">
        <x:f>INDEX(Datos_47_semanas!$B$4:$B$50,C788)</x:f>
        <x:v>192</x:v>
      </x:c>
      <x:c r="E788" t="n">
        <x:f>MIN($B$4,D788)*$B$7+MAX($B$4-D788,0)*$B$9-$B$4*$B$8</x:f>
        <x:v>121.69999999999993</x:v>
      </x:c>
      <x:c r="F788" t="n">
        <x:f>MIN($B$5,D788)*$B$7+MAX($B$5-D788,0)*$B$9-$B$5*$B$8</x:f>
        <x:v>94.19999999999993</x:v>
      </x:c>
      <x:c r="G788" t="n">
        <x:f>MIN($B$6,D788)*$B$7+MAX($B$6-D788,0)*$B$9-$B$6*$B$8</x:f>
        <x:v>39.19999999999993</x:v>
      </x:c>
      <x:c r="H788" t="n">
        <x:f>MAX(D788-$B$5,0)</x:f>
        <x:v>0</x:v>
      </x:c>
      <x:c r="I788" t="n">
        <x:f>MAX($B$5-D788,0)</x:f>
        <x:v>108</x:v>
      </x:c>
    </x:row>
    <x:row r="789">
      <x:c r="A789" t="n">
        <x:f>777</x:f>
        <x:v>777</x:v>
      </x:c>
      <x:c r="B789" t="n">
        <x:f>RAND()</x:f>
        <x:v>0.37817049445551154</x:v>
      </x:c>
      <x:c r="C789" t="n">
        <x:f>MIN(47,INT(B789*47)+1)</x:f>
        <x:v>18</x:v>
      </x:c>
      <x:c r="D789" t="n">
        <x:f>INDEX(Datos_47_semanas!$B$4:$B$50,C789)</x:f>
        <x:v>219</x:v>
      </x:c>
      <x:c r="E789" t="n">
        <x:f>MIN($B$4,D789)*$B$7+MAX($B$4-D789,0)*$B$9-$B$4*$B$8</x:f>
        <x:v>158.14999999999998</x:v>
      </x:c>
      <x:c r="F789" t="n">
        <x:f>MIN($B$5,D789)*$B$7+MAX($B$5-D789,0)*$B$9-$B$5*$B$8</x:f>
        <x:v>130.64999999999998</x:v>
      </x:c>
      <x:c r="G789" t="n">
        <x:f>MIN($B$6,D789)*$B$7+MAX($B$6-D789,0)*$B$9-$B$6*$B$8</x:f>
        <x:v>75.64999999999998</x:v>
      </x:c>
      <x:c r="H789" t="n">
        <x:f>MAX(D789-$B$5,0)</x:f>
        <x:v>0</x:v>
      </x:c>
      <x:c r="I789" t="n">
        <x:f>MAX($B$5-D789,0)</x:f>
        <x:v>81</x:v>
      </x:c>
    </x:row>
    <x:row r="790">
      <x:c r="A790" t="n">
        <x:f>778</x:f>
        <x:v>778</x:v>
      </x:c>
      <x:c r="B790" t="n">
        <x:f>RAND()</x:f>
        <x:v>0.09314933944857273</x:v>
      </x:c>
      <x:c r="C790" t="n">
        <x:f>MIN(47,INT(B790*47)+1)</x:f>
        <x:v>5</x:v>
      </x:c>
      <x:c r="D790" t="n">
        <x:f>INDEX(Datos_47_semanas!$B$4:$B$50,C790)</x:f>
        <x:v>347</x:v>
      </x:c>
      <x:c r="E790" t="n">
        <x:f>MIN($B$4,D790)*$B$7+MAX($B$4-D790,0)*$B$9-$B$4*$B$8</x:f>
        <x:v>200</x:v>
      </x:c>
      <x:c r="F790" t="n">
        <x:f>MIN($B$5,D790)*$B$7+MAX($B$5-D790,0)*$B$9-$B$5*$B$8</x:f>
        <x:v>240</x:v>
      </x:c>
      <x:c r="G790" t="n">
        <x:f>MIN($B$6,D790)*$B$7+MAX($B$6-D790,0)*$B$9-$B$6*$B$8</x:f>
        <x:v>248.44999999999993</x:v>
      </x:c>
      <x:c r="H790" t="n">
        <x:f>MAX(D790-$B$5,0)</x:f>
        <x:v>47</x:v>
      </x:c>
      <x:c r="I790" t="n">
        <x:f>MAX($B$5-D790,0)</x:f>
        <x:v>0</x:v>
      </x:c>
    </x:row>
    <x:row r="791">
      <x:c r="A791" t="n">
        <x:f>779</x:f>
        <x:v>779</x:v>
      </x:c>
      <x:c r="B791" t="n">
        <x:f>RAND()</x:f>
        <x:v>0.7540518769028223</x:v>
      </x:c>
      <x:c r="C791" t="n">
        <x:f>MIN(47,INT(B791*47)+1)</x:f>
        <x:v>36</x:v>
      </x:c>
      <x:c r="D791" t="n">
        <x:f>INDEX(Datos_47_semanas!$B$4:$B$50,C791)</x:f>
        <x:v>304</x:v>
      </x:c>
      <x:c r="E791" t="n">
        <x:f>MIN($B$4,D791)*$B$7+MAX($B$4-D791,0)*$B$9-$B$4*$B$8</x:f>
        <x:v>200</x:v>
      </x:c>
      <x:c r="F791" t="n">
        <x:f>MIN($B$5,D791)*$B$7+MAX($B$5-D791,0)*$B$9-$B$5*$B$8</x:f>
        <x:v>240</x:v>
      </x:c>
      <x:c r="G791" t="n">
        <x:f>MIN($B$6,D791)*$B$7+MAX($B$6-D791,0)*$B$9-$B$6*$B$8</x:f>
        <x:v>190.39999999999998</x:v>
      </x:c>
      <x:c r="H791" t="n">
        <x:f>MAX(D791-$B$5,0)</x:f>
        <x:v>4</x:v>
      </x:c>
      <x:c r="I791" t="n">
        <x:f>MAX($B$5-D791,0)</x:f>
        <x:v>0</x:v>
      </x:c>
    </x:row>
    <x:row r="792">
      <x:c r="A792" t="n">
        <x:f>780</x:f>
        <x:v>780</x:v>
      </x:c>
      <x:c r="B792" t="n">
        <x:f>RAND()</x:f>
        <x:v>0.13079170392706696</x:v>
      </x:c>
      <x:c r="C792" t="n">
        <x:f>MIN(47,INT(B792*47)+1)</x:f>
        <x:v>7</x:v>
      </x:c>
      <x:c r="D792" t="n">
        <x:f>INDEX(Datos_47_semanas!$B$4:$B$50,C792)</x:f>
        <x:v>249</x:v>
      </x:c>
      <x:c r="E792" t="n">
        <x:f>MIN($B$4,D792)*$B$7+MAX($B$4-D792,0)*$B$9-$B$4*$B$8</x:f>
        <x:v>198.64999999999998</x:v>
      </x:c>
      <x:c r="F792" t="n">
        <x:f>MIN($B$5,D792)*$B$7+MAX($B$5-D792,0)*$B$9-$B$5*$B$8</x:f>
        <x:v>171.14999999999998</x:v>
      </x:c>
      <x:c r="G792" t="n">
        <x:f>MIN($B$6,D792)*$B$7+MAX($B$6-D792,0)*$B$9-$B$6*$B$8</x:f>
        <x:v>116.14999999999998</x:v>
      </x:c>
      <x:c r="H792" t="n">
        <x:f>MAX(D792-$B$5,0)</x:f>
        <x:v>0</x:v>
      </x:c>
      <x:c r="I792" t="n">
        <x:f>MAX($B$5-D792,0)</x:f>
        <x:v>51</x:v>
      </x:c>
    </x:row>
    <x:row r="793">
      <x:c r="A793" t="n">
        <x:f>781</x:f>
        <x:v>781</x:v>
      </x:c>
      <x:c r="B793" t="n">
        <x:f>RAND()</x:f>
        <x:v>0.5323950477572041</x:v>
      </x:c>
      <x:c r="C793" t="n">
        <x:f>MIN(47,INT(B793*47)+1)</x:f>
        <x:v>26</x:v>
      </x:c>
      <x:c r="D793" t="n">
        <x:f>INDEX(Datos_47_semanas!$B$4:$B$50,C793)</x:f>
        <x:v>183</x:v>
      </x:c>
      <x:c r="E793" t="n">
        <x:f>MIN($B$4,D793)*$B$7+MAX($B$4-D793,0)*$B$9-$B$4*$B$8</x:f>
        <x:v>109.55000000000001</x:v>
      </x:c>
      <x:c r="F793" t="n">
        <x:f>MIN($B$5,D793)*$B$7+MAX($B$5-D793,0)*$B$9-$B$5*$B$8</x:f>
        <x:v>82.05000000000001</x:v>
      </x:c>
      <x:c r="G793" t="n">
        <x:f>MIN($B$6,D793)*$B$7+MAX($B$6-D793,0)*$B$9-$B$6*$B$8</x:f>
        <x:v>27.049999999999955</x:v>
      </x:c>
      <x:c r="H793" t="n">
        <x:f>MAX(D793-$B$5,0)</x:f>
        <x:v>0</x:v>
      </x:c>
      <x:c r="I793" t="n">
        <x:f>MAX($B$5-D793,0)</x:f>
        <x:v>117</x:v>
      </x:c>
    </x:row>
    <x:row r="794">
      <x:c r="A794" t="n">
        <x:f>782</x:f>
        <x:v>782</x:v>
      </x:c>
      <x:c r="B794" t="n">
        <x:f>RAND()</x:f>
        <x:v>0.2697956871407303</x:v>
      </x:c>
      <x:c r="C794" t="n">
        <x:f>MIN(47,INT(B794*47)+1)</x:f>
        <x:v>13</x:v>
      </x:c>
      <x:c r="D794" t="n">
        <x:f>INDEX(Datos_47_semanas!$B$4:$B$50,C794)</x:f>
        <x:v>517</x:v>
      </x:c>
      <x:c r="E794" t="n">
        <x:f>MIN($B$4,D794)*$B$7+MAX($B$4-D794,0)*$B$9-$B$4*$B$8</x:f>
        <x:v>200</x:v>
      </x:c>
      <x:c r="F794" t="n">
        <x:f>MIN($B$5,D794)*$B$7+MAX($B$5-D794,0)*$B$9-$B$5*$B$8</x:f>
        <x:v>240</x:v>
      </x:c>
      <x:c r="G794" t="n">
        <x:f>MIN($B$6,D794)*$B$7+MAX($B$6-D794,0)*$B$9-$B$6*$B$8</x:f>
        <x:v>320</x:v>
      </x:c>
      <x:c r="H794" t="n">
        <x:f>MAX(D794-$B$5,0)</x:f>
        <x:v>217</x:v>
      </x:c>
      <x:c r="I794" t="n">
        <x:f>MAX($B$5-D794,0)</x:f>
        <x:v>0</x:v>
      </x:c>
    </x:row>
    <x:row r="795">
      <x:c r="A795" t="n">
        <x:f>783</x:f>
        <x:v>783</x:v>
      </x:c>
      <x:c r="B795" t="n">
        <x:f>RAND()</x:f>
        <x:v>0.8479388359928618</x:v>
      </x:c>
      <x:c r="C795" t="n">
        <x:f>MIN(47,INT(B795*47)+1)</x:f>
        <x:v>40</x:v>
      </x:c>
      <x:c r="D795" t="n">
        <x:f>INDEX(Datos_47_semanas!$B$4:$B$50,C795)</x:f>
        <x:v>278</x:v>
      </x:c>
      <x:c r="E795" t="n">
        <x:f>MIN($B$4,D795)*$B$7+MAX($B$4-D795,0)*$B$9-$B$4*$B$8</x:f>
        <x:v>200</x:v>
      </x:c>
      <x:c r="F795" t="n">
        <x:f>MIN($B$5,D795)*$B$7+MAX($B$5-D795,0)*$B$9-$B$5*$B$8</x:f>
        <x:v>210.3</x:v>
      </x:c>
      <x:c r="G795" t="n">
        <x:f>MIN($B$6,D795)*$B$7+MAX($B$6-D795,0)*$B$9-$B$6*$B$8</x:f>
        <x:v>155.3</x:v>
      </x:c>
      <x:c r="H795" t="n">
        <x:f>MAX(D795-$B$5,0)</x:f>
        <x:v>0</x:v>
      </x:c>
      <x:c r="I795" t="n">
        <x:f>MAX($B$5-D795,0)</x:f>
        <x:v>22</x:v>
      </x:c>
    </x:row>
    <x:row r="796">
      <x:c r="A796" t="n">
        <x:f>784</x:f>
        <x:v>784</x:v>
      </x:c>
      <x:c r="B796" t="n">
        <x:f>RAND()</x:f>
        <x:v>0.3393096006688433</x:v>
      </x:c>
      <x:c r="C796" t="n">
        <x:f>MIN(47,INT(B796*47)+1)</x:f>
        <x:v>16</x:v>
      </x:c>
      <x:c r="D796" t="n">
        <x:f>INDEX(Datos_47_semanas!$B$4:$B$50,C796)</x:f>
        <x:v>318</x:v>
      </x:c>
      <x:c r="E796" t="n">
        <x:f>MIN($B$4,D796)*$B$7+MAX($B$4-D796,0)*$B$9-$B$4*$B$8</x:f>
        <x:v>200</x:v>
      </x:c>
      <x:c r="F796" t="n">
        <x:f>MIN($B$5,D796)*$B$7+MAX($B$5-D796,0)*$B$9-$B$5*$B$8</x:f>
        <x:v>240</x:v>
      </x:c>
      <x:c r="G796" t="n">
        <x:f>MIN($B$6,D796)*$B$7+MAX($B$6-D796,0)*$B$9-$B$6*$B$8</x:f>
        <x:v>209.29999999999995</x:v>
      </x:c>
      <x:c r="H796" t="n">
        <x:f>MAX(D796-$B$5,0)</x:f>
        <x:v>18</x:v>
      </x:c>
      <x:c r="I796" t="n">
        <x:f>MAX($B$5-D796,0)</x:f>
        <x:v>0</x:v>
      </x:c>
    </x:row>
    <x:row r="797">
      <x:c r="A797" t="n">
        <x:f>785</x:f>
        <x:v>785</x:v>
      </x:c>
      <x:c r="B797" t="n">
        <x:f>RAND()</x:f>
        <x:v>0.9814254101882339</x:v>
      </x:c>
      <x:c r="C797" t="n">
        <x:f>MIN(47,INT(B797*47)+1)</x:f>
        <x:v>47</x:v>
      </x:c>
      <x:c r="D797" t="n">
        <x:f>INDEX(Datos_47_semanas!$B$4:$B$50,C797)</x:f>
        <x:v>256</x:v>
      </x:c>
      <x:c r="E797" t="n">
        <x:f>MIN($B$4,D797)*$B$7+MAX($B$4-D797,0)*$B$9-$B$4*$B$8</x:f>
        <x:v>200</x:v>
      </x:c>
      <x:c r="F797" t="n">
        <x:f>MIN($B$5,D797)*$B$7+MAX($B$5-D797,0)*$B$9-$B$5*$B$8</x:f>
        <x:v>180.59999999999997</x:v>
      </x:c>
      <x:c r="G797" t="n">
        <x:f>MIN($B$6,D797)*$B$7+MAX($B$6-D797,0)*$B$9-$B$6*$B$8</x:f>
        <x:v>125.59999999999997</x:v>
      </x:c>
      <x:c r="H797" t="n">
        <x:f>MAX(D797-$B$5,0)</x:f>
        <x:v>0</x:v>
      </x:c>
      <x:c r="I797" t="n">
        <x:f>MAX($B$5-D797,0)</x:f>
        <x:v>44</x:v>
      </x:c>
    </x:row>
    <x:row r="798">
      <x:c r="A798" t="n">
        <x:f>786</x:f>
        <x:v>786</x:v>
      </x:c>
      <x:c r="B798" t="n">
        <x:f>RAND()</x:f>
        <x:v>0.40687983059340804</x:v>
      </x:c>
      <x:c r="C798" t="n">
        <x:f>MIN(47,INT(B798*47)+1)</x:f>
        <x:v>20</x:v>
      </x:c>
      <x:c r="D798" t="n">
        <x:f>INDEX(Datos_47_semanas!$B$4:$B$50,C798)</x:f>
        <x:v>335</x:v>
      </x:c>
      <x:c r="E798" t="n">
        <x:f>MIN($B$4,D798)*$B$7+MAX($B$4-D798,0)*$B$9-$B$4*$B$8</x:f>
        <x:v>200</x:v>
      </x:c>
      <x:c r="F798" t="n">
        <x:f>MIN($B$5,D798)*$B$7+MAX($B$5-D798,0)*$B$9-$B$5*$B$8</x:f>
        <x:v>240</x:v>
      </x:c>
      <x:c r="G798" t="n">
        <x:f>MIN($B$6,D798)*$B$7+MAX($B$6-D798,0)*$B$9-$B$6*$B$8</x:f>
        <x:v>232.25</x:v>
      </x:c>
      <x:c r="H798" t="n">
        <x:f>MAX(D798-$B$5,0)</x:f>
        <x:v>35</x:v>
      </x:c>
      <x:c r="I798" t="n">
        <x:f>MAX($B$5-D798,0)</x:f>
        <x:v>0</x:v>
      </x:c>
    </x:row>
    <x:row r="799">
      <x:c r="A799" t="n">
        <x:f>787</x:f>
        <x:v>787</x:v>
      </x:c>
      <x:c r="B799" t="n">
        <x:f>RAND()</x:f>
        <x:v>0.1237124290638062</x:v>
      </x:c>
      <x:c r="C799" t="n">
        <x:f>MIN(47,INT(B799*47)+1)</x:f>
        <x:v>6</x:v>
      </x:c>
      <x:c r="D799" t="n">
        <x:f>INDEX(Datos_47_semanas!$B$4:$B$50,C799)</x:f>
        <x:v>155</x:v>
      </x:c>
      <x:c r="E799" t="n">
        <x:f>MIN($B$4,D799)*$B$7+MAX($B$4-D799,0)*$B$9-$B$4*$B$8</x:f>
        <x:v>71.75</x:v>
      </x:c>
      <x:c r="F799" t="n">
        <x:f>MIN($B$5,D799)*$B$7+MAX($B$5-D799,0)*$B$9-$B$5*$B$8</x:f>
        <x:v>44.25</x:v>
      </x:c>
      <x:c r="G799" t="n">
        <x:f>MIN($B$6,D799)*$B$7+MAX($B$6-D799,0)*$B$9-$B$6*$B$8</x:f>
        <x:v>-10.75</x:v>
      </x:c>
      <x:c r="H799" t="n">
        <x:f>MAX(D799-$B$5,0)</x:f>
        <x:v>0</x:v>
      </x:c>
      <x:c r="I799" t="n">
        <x:f>MAX($B$5-D799,0)</x:f>
        <x:v>145</x:v>
      </x:c>
    </x:row>
    <x:row r="800">
      <x:c r="A800" t="n">
        <x:f>788</x:f>
        <x:v>788</x:v>
      </x:c>
      <x:c r="B800" t="n">
        <x:f>RAND()</x:f>
        <x:v>0.31542357824267697</x:v>
      </x:c>
      <x:c r="C800" t="n">
        <x:f>MIN(47,INT(B800*47)+1)</x:f>
        <x:v>15</x:v>
      </x:c>
      <x:c r="D800" t="n">
        <x:f>INDEX(Datos_47_semanas!$B$4:$B$50,C800)</x:f>
        <x:v>275</x:v>
      </x:c>
      <x:c r="E800" t="n">
        <x:f>MIN($B$4,D800)*$B$7+MAX($B$4-D800,0)*$B$9-$B$4*$B$8</x:f>
        <x:v>200</x:v>
      </x:c>
      <x:c r="F800" t="n">
        <x:f>MIN($B$5,D800)*$B$7+MAX($B$5-D800,0)*$B$9-$B$5*$B$8</x:f>
        <x:v>206.25</x:v>
      </x:c>
      <x:c r="G800" t="n">
        <x:f>MIN($B$6,D800)*$B$7+MAX($B$6-D800,0)*$B$9-$B$6*$B$8</x:f>
        <x:v>151.25</x:v>
      </x:c>
      <x:c r="H800" t="n">
        <x:f>MAX(D800-$B$5,0)</x:f>
        <x:v>0</x:v>
      </x:c>
      <x:c r="I800" t="n">
        <x:f>MAX($B$5-D800,0)</x:f>
        <x:v>25</x:v>
      </x:c>
    </x:row>
    <x:row r="801">
      <x:c r="A801" t="n">
        <x:f>789</x:f>
        <x:v>789</x:v>
      </x:c>
      <x:c r="B801" t="n">
        <x:f>RAND()</x:f>
        <x:v>0.14032397381118022</x:v>
      </x:c>
      <x:c r="C801" t="n">
        <x:f>MIN(47,INT(B801*47)+1)</x:f>
        <x:v>7</x:v>
      </x:c>
      <x:c r="D801" t="n">
        <x:f>INDEX(Datos_47_semanas!$B$4:$B$50,C801)</x:f>
        <x:v>249</x:v>
      </x:c>
      <x:c r="E801" t="n">
        <x:f>MIN($B$4,D801)*$B$7+MAX($B$4-D801,0)*$B$9-$B$4*$B$8</x:f>
        <x:v>198.64999999999998</x:v>
      </x:c>
      <x:c r="F801" t="n">
        <x:f>MIN($B$5,D801)*$B$7+MAX($B$5-D801,0)*$B$9-$B$5*$B$8</x:f>
        <x:v>171.14999999999998</x:v>
      </x:c>
      <x:c r="G801" t="n">
        <x:f>MIN($B$6,D801)*$B$7+MAX($B$6-D801,0)*$B$9-$B$6*$B$8</x:f>
        <x:v>116.14999999999998</x:v>
      </x:c>
      <x:c r="H801" t="n">
        <x:f>MAX(D801-$B$5,0)</x:f>
        <x:v>0</x:v>
      </x:c>
      <x:c r="I801" t="n">
        <x:f>MAX($B$5-D801,0)</x:f>
        <x:v>51</x:v>
      </x:c>
    </x:row>
    <x:row r="802">
      <x:c r="A802" t="n">
        <x:f>790</x:f>
        <x:v>790</x:v>
      </x:c>
      <x:c r="B802" t="n">
        <x:f>RAND()</x:f>
        <x:v>0.7534725266309881</x:v>
      </x:c>
      <x:c r="C802" t="n">
        <x:f>MIN(47,INT(B802*47)+1)</x:f>
        <x:v>36</x:v>
      </x:c>
      <x:c r="D802" t="n">
        <x:f>INDEX(Datos_47_semanas!$B$4:$B$50,C802)</x:f>
        <x:v>304</x:v>
      </x:c>
      <x:c r="E802" t="n">
        <x:f>MIN($B$4,D802)*$B$7+MAX($B$4-D802,0)*$B$9-$B$4*$B$8</x:f>
        <x:v>200</x:v>
      </x:c>
      <x:c r="F802" t="n">
        <x:f>MIN($B$5,D802)*$B$7+MAX($B$5-D802,0)*$B$9-$B$5*$B$8</x:f>
        <x:v>240</x:v>
      </x:c>
      <x:c r="G802" t="n">
        <x:f>MIN($B$6,D802)*$B$7+MAX($B$6-D802,0)*$B$9-$B$6*$B$8</x:f>
        <x:v>190.39999999999998</x:v>
      </x:c>
      <x:c r="H802" t="n">
        <x:f>MAX(D802-$B$5,0)</x:f>
        <x:v>4</x:v>
      </x:c>
      <x:c r="I802" t="n">
        <x:f>MAX($B$5-D802,0)</x:f>
        <x:v>0</x:v>
      </x:c>
    </x:row>
    <x:row r="803">
      <x:c r="A803" t="n">
        <x:f>791</x:f>
        <x:v>791</x:v>
      </x:c>
      <x:c r="B803" t="n">
        <x:f>RAND()</x:f>
        <x:v>0.3767462942208206</x:v>
      </x:c>
      <x:c r="C803" t="n">
        <x:f>MIN(47,INT(B803*47)+1)</x:f>
        <x:v>18</x:v>
      </x:c>
      <x:c r="D803" t="n">
        <x:f>INDEX(Datos_47_semanas!$B$4:$B$50,C803)</x:f>
        <x:v>219</x:v>
      </x:c>
      <x:c r="E803" t="n">
        <x:f>MIN($B$4,D803)*$B$7+MAX($B$4-D803,0)*$B$9-$B$4*$B$8</x:f>
        <x:v>158.14999999999998</x:v>
      </x:c>
      <x:c r="F803" t="n">
        <x:f>MIN($B$5,D803)*$B$7+MAX($B$5-D803,0)*$B$9-$B$5*$B$8</x:f>
        <x:v>130.64999999999998</x:v>
      </x:c>
      <x:c r="G803" t="n">
        <x:f>MIN($B$6,D803)*$B$7+MAX($B$6-D803,0)*$B$9-$B$6*$B$8</x:f>
        <x:v>75.64999999999998</x:v>
      </x:c>
      <x:c r="H803" t="n">
        <x:f>MAX(D803-$B$5,0)</x:f>
        <x:v>0</x:v>
      </x:c>
      <x:c r="I803" t="n">
        <x:f>MAX($B$5-D803,0)</x:f>
        <x:v>81</x:v>
      </x:c>
    </x:row>
    <x:row r="804">
      <x:c r="A804" t="n">
        <x:f>792</x:f>
        <x:v>792</x:v>
      </x:c>
      <x:c r="B804" t="n">
        <x:f>RAND()</x:f>
        <x:v>0.3062370983902557</x:v>
      </x:c>
      <x:c r="C804" t="n">
        <x:f>MIN(47,INT(B804*47)+1)</x:f>
        <x:v>15</x:v>
      </x:c>
      <x:c r="D804" t="n">
        <x:f>INDEX(Datos_47_semanas!$B$4:$B$50,C804)</x:f>
        <x:v>275</x:v>
      </x:c>
      <x:c r="E804" t="n">
        <x:f>MIN($B$4,D804)*$B$7+MAX($B$4-D804,0)*$B$9-$B$4*$B$8</x:f>
        <x:v>200</x:v>
      </x:c>
      <x:c r="F804" t="n">
        <x:f>MIN($B$5,D804)*$B$7+MAX($B$5-D804,0)*$B$9-$B$5*$B$8</x:f>
        <x:v>206.25</x:v>
      </x:c>
      <x:c r="G804" t="n">
        <x:f>MIN($B$6,D804)*$B$7+MAX($B$6-D804,0)*$B$9-$B$6*$B$8</x:f>
        <x:v>151.25</x:v>
      </x:c>
      <x:c r="H804" t="n">
        <x:f>MAX(D804-$B$5,0)</x:f>
        <x:v>0</x:v>
      </x:c>
      <x:c r="I804" t="n">
        <x:f>MAX($B$5-D804,0)</x:f>
        <x:v>25</x:v>
      </x:c>
    </x:row>
    <x:row r="805">
      <x:c r="A805" t="n">
        <x:f>793</x:f>
        <x:v>793</x:v>
      </x:c>
      <x:c r="B805" t="n">
        <x:f>RAND()</x:f>
        <x:v>0.9505283142763227</x:v>
      </x:c>
      <x:c r="C805" t="n">
        <x:f>MIN(47,INT(B805*47)+1)</x:f>
        <x:v>45</x:v>
      </x:c>
      <x:c r="D805" t="n">
        <x:f>INDEX(Datos_47_semanas!$B$4:$B$50,C805)</x:f>
        <x:v>526</x:v>
      </x:c>
      <x:c r="E805" t="n">
        <x:f>MIN($B$4,D805)*$B$7+MAX($B$4-D805,0)*$B$9-$B$4*$B$8</x:f>
        <x:v>200</x:v>
      </x:c>
      <x:c r="F805" t="n">
        <x:f>MIN($B$5,D805)*$B$7+MAX($B$5-D805,0)*$B$9-$B$5*$B$8</x:f>
        <x:v>240</x:v>
      </x:c>
      <x:c r="G805" t="n">
        <x:f>MIN($B$6,D805)*$B$7+MAX($B$6-D805,0)*$B$9-$B$6*$B$8</x:f>
        <x:v>320</x:v>
      </x:c>
      <x:c r="H805" t="n">
        <x:f>MAX(D805-$B$5,0)</x:f>
        <x:v>226</x:v>
      </x:c>
      <x:c r="I805" t="n">
        <x:f>MAX($B$5-D805,0)</x:f>
        <x:v>0</x:v>
      </x:c>
    </x:row>
    <x:row r="806">
      <x:c r="A806" t="n">
        <x:f>794</x:f>
        <x:v>794</x:v>
      </x:c>
      <x:c r="B806" t="n">
        <x:f>RAND()</x:f>
        <x:v>0.4825816092620404</x:v>
      </x:c>
      <x:c r="C806" t="n">
        <x:f>MIN(47,INT(B806*47)+1)</x:f>
        <x:v>23</x:v>
      </x:c>
      <x:c r="D806" t="n">
        <x:f>INDEX(Datos_47_semanas!$B$4:$B$50,C806)</x:f>
        <x:v>565</x:v>
      </x:c>
      <x:c r="E806" t="n">
        <x:f>MIN($B$4,D806)*$B$7+MAX($B$4-D806,0)*$B$9-$B$4*$B$8</x:f>
        <x:v>200</x:v>
      </x:c>
      <x:c r="F806" t="n">
        <x:f>MIN($B$5,D806)*$B$7+MAX($B$5-D806,0)*$B$9-$B$5*$B$8</x:f>
        <x:v>240</x:v>
      </x:c>
      <x:c r="G806" t="n">
        <x:f>MIN($B$6,D806)*$B$7+MAX($B$6-D806,0)*$B$9-$B$6*$B$8</x:f>
        <x:v>320</x:v>
      </x:c>
      <x:c r="H806" t="n">
        <x:f>MAX(D806-$B$5,0)</x:f>
        <x:v>265</x:v>
      </x:c>
      <x:c r="I806" t="n">
        <x:f>MAX($B$5-D806,0)</x:f>
        <x:v>0</x:v>
      </x:c>
    </x:row>
    <x:row r="807">
      <x:c r="A807" t="n">
        <x:f>795</x:f>
        <x:v>795</x:v>
      </x:c>
      <x:c r="B807" t="n">
        <x:f>RAND()</x:f>
        <x:v>0.8603000443335963</x:v>
      </x:c>
      <x:c r="C807" t="n">
        <x:f>MIN(47,INT(B807*47)+1)</x:f>
        <x:v>41</x:v>
      </x:c>
      <x:c r="D807" t="n">
        <x:f>INDEX(Datos_47_semanas!$B$4:$B$50,C807)</x:f>
        <x:v>383</x:v>
      </x:c>
      <x:c r="E807" t="n">
        <x:f>MIN($B$4,D807)*$B$7+MAX($B$4-D807,0)*$B$9-$B$4*$B$8</x:f>
        <x:v>200</x:v>
      </x:c>
      <x:c r="F807" t="n">
        <x:f>MIN($B$5,D807)*$B$7+MAX($B$5-D807,0)*$B$9-$B$5*$B$8</x:f>
        <x:v>240</x:v>
      </x:c>
      <x:c r="G807" t="n">
        <x:f>MIN($B$6,D807)*$B$7+MAX($B$6-D807,0)*$B$9-$B$6*$B$8</x:f>
        <x:v>297.04999999999995</x:v>
      </x:c>
      <x:c r="H807" t="n">
        <x:f>MAX(D807-$B$5,0)</x:f>
        <x:v>83</x:v>
      </x:c>
      <x:c r="I807" t="n">
        <x:f>MAX($B$5-D807,0)</x:f>
        <x:v>0</x:v>
      </x:c>
    </x:row>
    <x:row r="808">
      <x:c r="A808" t="n">
        <x:f>796</x:f>
        <x:v>796</x:v>
      </x:c>
      <x:c r="B808" t="n">
        <x:f>RAND()</x:f>
        <x:v>0.2961967730448536</x:v>
      </x:c>
      <x:c r="C808" t="n">
        <x:f>MIN(47,INT(B808*47)+1)</x:f>
        <x:v>14</x:v>
      </x:c>
      <x:c r="D808" t="n">
        <x:f>INDEX(Datos_47_semanas!$B$4:$B$50,C808)</x:f>
        <x:v>187</x:v>
      </x:c>
      <x:c r="E808" t="n">
        <x:f>MIN($B$4,D808)*$B$7+MAX($B$4-D808,0)*$B$9-$B$4*$B$8</x:f>
        <x:v>114.94999999999999</x:v>
      </x:c>
      <x:c r="F808" t="n">
        <x:f>MIN($B$5,D808)*$B$7+MAX($B$5-D808,0)*$B$9-$B$5*$B$8</x:f>
        <x:v>87.44999999999999</x:v>
      </x:c>
      <x:c r="G808" t="n">
        <x:f>MIN($B$6,D808)*$B$7+MAX($B$6-D808,0)*$B$9-$B$6*$B$8</x:f>
        <x:v>32.44999999999999</x:v>
      </x:c>
      <x:c r="H808" t="n">
        <x:f>MAX(D808-$B$5,0)</x:f>
        <x:v>0</x:v>
      </x:c>
      <x:c r="I808" t="n">
        <x:f>MAX($B$5-D808,0)</x:f>
        <x:v>113</x:v>
      </x:c>
    </x:row>
    <x:row r="809">
      <x:c r="A809" t="n">
        <x:f>797</x:f>
        <x:v>797</x:v>
      </x:c>
      <x:c r="B809" t="n">
        <x:f>RAND()</x:f>
        <x:v>0.9624723636188798</x:v>
      </x:c>
      <x:c r="C809" t="n">
        <x:f>MIN(47,INT(B809*47)+1)</x:f>
        <x:v>46</x:v>
      </x:c>
      <x:c r="D809" t="n">
        <x:f>INDEX(Datos_47_semanas!$B$4:$B$50,C809)</x:f>
        <x:v>449</x:v>
      </x:c>
      <x:c r="E809" t="n">
        <x:f>MIN($B$4,D809)*$B$7+MAX($B$4-D809,0)*$B$9-$B$4*$B$8</x:f>
        <x:v>200</x:v>
      </x:c>
      <x:c r="F809" t="n">
        <x:f>MIN($B$5,D809)*$B$7+MAX($B$5-D809,0)*$B$9-$B$5*$B$8</x:f>
        <x:v>240</x:v>
      </x:c>
      <x:c r="G809" t="n">
        <x:f>MIN($B$6,D809)*$B$7+MAX($B$6-D809,0)*$B$9-$B$6*$B$8</x:f>
        <x:v>320</x:v>
      </x:c>
      <x:c r="H809" t="n">
        <x:f>MAX(D809-$B$5,0)</x:f>
        <x:v>149</x:v>
      </x:c>
      <x:c r="I809" t="n">
        <x:f>MAX($B$5-D809,0)</x:f>
        <x:v>0</x:v>
      </x:c>
    </x:row>
    <x:row r="810">
      <x:c r="A810" t="n">
        <x:f>798</x:f>
        <x:v>798</x:v>
      </x:c>
      <x:c r="B810" t="n">
        <x:f>RAND()</x:f>
        <x:v>0.9161703978518453</x:v>
      </x:c>
      <x:c r="C810" t="n">
        <x:f>MIN(47,INT(B810*47)+1)</x:f>
        <x:v>44</x:v>
      </x:c>
      <x:c r="D810" t="n">
        <x:f>INDEX(Datos_47_semanas!$B$4:$B$50,C810)</x:f>
        <x:v>223</x:v>
      </x:c>
      <x:c r="E810" t="n">
        <x:f>MIN($B$4,D810)*$B$7+MAX($B$4-D810,0)*$B$9-$B$4*$B$8</x:f>
        <x:v>163.55</x:v>
      </x:c>
      <x:c r="F810" t="n">
        <x:f>MIN($B$5,D810)*$B$7+MAX($B$5-D810,0)*$B$9-$B$5*$B$8</x:f>
        <x:v>136.05</x:v>
      </x:c>
      <x:c r="G810" t="n">
        <x:f>MIN($B$6,D810)*$B$7+MAX($B$6-D810,0)*$B$9-$B$6*$B$8</x:f>
        <x:v>81.05000000000001</x:v>
      </x:c>
      <x:c r="H810" t="n">
        <x:f>MAX(D810-$B$5,0)</x:f>
        <x:v>0</x:v>
      </x:c>
      <x:c r="I810" t="n">
        <x:f>MAX($B$5-D810,0)</x:f>
        <x:v>77</x:v>
      </x:c>
    </x:row>
    <x:row r="811">
      <x:c r="A811" t="n">
        <x:f>799</x:f>
        <x:v>799</x:v>
      </x:c>
      <x:c r="B811" t="n">
        <x:f>RAND()</x:f>
        <x:v>0.4595233439845863</x:v>
      </x:c>
      <x:c r="C811" t="n">
        <x:f>MIN(47,INT(B811*47)+1)</x:f>
        <x:v>22</x:v>
      </x:c>
      <x:c r="D811" t="n">
        <x:f>INDEX(Datos_47_semanas!$B$4:$B$50,C811)</x:f>
        <x:v>171</x:v>
      </x:c>
      <x:c r="E811" t="n">
        <x:f>MIN($B$4,D811)*$B$7+MAX($B$4-D811,0)*$B$9-$B$4*$B$8</x:f>
        <x:v>93.34999999999997</x:v>
      </x:c>
      <x:c r="F811" t="n">
        <x:f>MIN($B$5,D811)*$B$7+MAX($B$5-D811,0)*$B$9-$B$5*$B$8</x:f>
        <x:v>65.84999999999997</x:v>
      </x:c>
      <x:c r="G811" t="n">
        <x:f>MIN($B$6,D811)*$B$7+MAX($B$6-D811,0)*$B$9-$B$6*$B$8</x:f>
        <x:v>10.849999999999966</x:v>
      </x:c>
      <x:c r="H811" t="n">
        <x:f>MAX(D811-$B$5,0)</x:f>
        <x:v>0</x:v>
      </x:c>
      <x:c r="I811" t="n">
        <x:f>MAX($B$5-D811,0)</x:f>
        <x:v>129</x:v>
      </x:c>
    </x:row>
    <x:row r="812">
      <x:c r="A812" t="n">
        <x:f>800</x:f>
        <x:v>800</x:v>
      </x:c>
      <x:c r="B812" t="n">
        <x:f>RAND()</x:f>
        <x:v>0.9616050091206396</x:v>
      </x:c>
      <x:c r="C812" t="n">
        <x:f>MIN(47,INT(B812*47)+1)</x:f>
        <x:v>46</x:v>
      </x:c>
      <x:c r="D812" t="n">
        <x:f>INDEX(Datos_47_semanas!$B$4:$B$50,C812)</x:f>
        <x:v>449</x:v>
      </x:c>
      <x:c r="E812" t="n">
        <x:f>MIN($B$4,D812)*$B$7+MAX($B$4-D812,0)*$B$9-$B$4*$B$8</x:f>
        <x:v>200</x:v>
      </x:c>
      <x:c r="F812" t="n">
        <x:f>MIN($B$5,D812)*$B$7+MAX($B$5-D812,0)*$B$9-$B$5*$B$8</x:f>
        <x:v>240</x:v>
      </x:c>
      <x:c r="G812" t="n">
        <x:f>MIN($B$6,D812)*$B$7+MAX($B$6-D812,0)*$B$9-$B$6*$B$8</x:f>
        <x:v>320</x:v>
      </x:c>
      <x:c r="H812" t="n">
        <x:f>MAX(D812-$B$5,0)</x:f>
        <x:v>149</x:v>
      </x:c>
      <x:c r="I812" t="n">
        <x:f>MAX($B$5-D812,0)</x:f>
        <x:v>0</x:v>
      </x:c>
    </x:row>
    <x:row r="813">
      <x:c r="A813" t="n">
        <x:f>801</x:f>
        <x:v>801</x:v>
      </x:c>
      <x:c r="B813" t="n">
        <x:f>RAND()</x:f>
        <x:v>0.1583048102514879</x:v>
      </x:c>
      <x:c r="C813" t="n">
        <x:f>MIN(47,INT(B813*47)+1)</x:f>
        <x:v>8</x:v>
      </x:c>
      <x:c r="D813" t="n">
        <x:f>INDEX(Datos_47_semanas!$B$4:$B$50,C813)</x:f>
        <x:v>259</x:v>
      </x:c>
      <x:c r="E813" t="n">
        <x:f>MIN($B$4,D813)*$B$7+MAX($B$4-D813,0)*$B$9-$B$4*$B$8</x:f>
        <x:v>200</x:v>
      </x:c>
      <x:c r="F813" t="n">
        <x:f>MIN($B$5,D813)*$B$7+MAX($B$5-D813,0)*$B$9-$B$5*$B$8</x:f>
        <x:v>184.64999999999998</x:v>
      </x:c>
      <x:c r="G813" t="n">
        <x:f>MIN($B$6,D813)*$B$7+MAX($B$6-D813,0)*$B$9-$B$6*$B$8</x:f>
        <x:v>129.64999999999998</x:v>
      </x:c>
      <x:c r="H813" t="n">
        <x:f>MAX(D813-$B$5,0)</x:f>
        <x:v>0</x:v>
      </x:c>
      <x:c r="I813" t="n">
        <x:f>MAX($B$5-D813,0)</x:f>
        <x:v>41</x:v>
      </x:c>
    </x:row>
    <x:row r="814">
      <x:c r="A814" t="n">
        <x:f>802</x:f>
        <x:v>802</x:v>
      </x:c>
      <x:c r="B814" t="n">
        <x:f>RAND()</x:f>
        <x:v>0.6067593420237961</x:v>
      </x:c>
      <x:c r="C814" t="n">
        <x:f>MIN(47,INT(B814*47)+1)</x:f>
        <x:v>29</x:v>
      </x:c>
      <x:c r="D814" t="n">
        <x:f>INDEX(Datos_47_semanas!$B$4:$B$50,C814)</x:f>
        <x:v>415</x:v>
      </x:c>
      <x:c r="E814" t="n">
        <x:f>MIN($B$4,D814)*$B$7+MAX($B$4-D814,0)*$B$9-$B$4*$B$8</x:f>
        <x:v>200</x:v>
      </x:c>
      <x:c r="F814" t="n">
        <x:f>MIN($B$5,D814)*$B$7+MAX($B$5-D814,0)*$B$9-$B$5*$B$8</x:f>
        <x:v>240</x:v>
      </x:c>
      <x:c r="G814" t="n">
        <x:f>MIN($B$6,D814)*$B$7+MAX($B$6-D814,0)*$B$9-$B$6*$B$8</x:f>
        <x:v>320</x:v>
      </x:c>
      <x:c r="H814" t="n">
        <x:f>MAX(D814-$B$5,0)</x:f>
        <x:v>115</x:v>
      </x:c>
      <x:c r="I814" t="n">
        <x:f>MAX($B$5-D814,0)</x:f>
        <x:v>0</x:v>
      </x:c>
    </x:row>
    <x:row r="815">
      <x:c r="A815" t="n">
        <x:f>803</x:f>
        <x:v>803</x:v>
      </x:c>
      <x:c r="B815" t="n">
        <x:f>RAND()</x:f>
        <x:v>0.44339301118434193</x:v>
      </x:c>
      <x:c r="C815" t="n">
        <x:f>MIN(47,INT(B815*47)+1)</x:f>
        <x:v>21</x:v>
      </x:c>
      <x:c r="D815" t="n">
        <x:f>INDEX(Datos_47_semanas!$B$4:$B$50,C815)</x:f>
        <x:v>424</x:v>
      </x:c>
      <x:c r="E815" t="n">
        <x:f>MIN($B$4,D815)*$B$7+MAX($B$4-D815,0)*$B$9-$B$4*$B$8</x:f>
        <x:v>200</x:v>
      </x:c>
      <x:c r="F815" t="n">
        <x:f>MIN($B$5,D815)*$B$7+MAX($B$5-D815,0)*$B$9-$B$5*$B$8</x:f>
        <x:v>240</x:v>
      </x:c>
      <x:c r="G815" t="n">
        <x:f>MIN($B$6,D815)*$B$7+MAX($B$6-D815,0)*$B$9-$B$6*$B$8</x:f>
        <x:v>320</x:v>
      </x:c>
      <x:c r="H815" t="n">
        <x:f>MAX(D815-$B$5,0)</x:f>
        <x:v>124</x:v>
      </x:c>
      <x:c r="I815" t="n">
        <x:f>MAX($B$5-D815,0)</x:f>
        <x:v>0</x:v>
      </x:c>
    </x:row>
    <x:row r="816">
      <x:c r="A816" t="n">
        <x:f>804</x:f>
        <x:v>804</x:v>
      </x:c>
      <x:c r="B816" t="n">
        <x:f>RAND()</x:f>
        <x:v>0.6652691326784559</x:v>
      </x:c>
      <x:c r="C816" t="n">
        <x:f>MIN(47,INT(B816*47)+1)</x:f>
        <x:v>32</x:v>
      </x:c>
      <x:c r="D816" t="n">
        <x:f>INDEX(Datos_47_semanas!$B$4:$B$50,C816)</x:f>
        <x:v>575</x:v>
      </x:c>
      <x:c r="E816" t="n">
        <x:f>MIN($B$4,D816)*$B$7+MAX($B$4-D816,0)*$B$9-$B$4*$B$8</x:f>
        <x:v>200</x:v>
      </x:c>
      <x:c r="F816" t="n">
        <x:f>MIN($B$5,D816)*$B$7+MAX($B$5-D816,0)*$B$9-$B$5*$B$8</x:f>
        <x:v>240</x:v>
      </x:c>
      <x:c r="G816" t="n">
        <x:f>MIN($B$6,D816)*$B$7+MAX($B$6-D816,0)*$B$9-$B$6*$B$8</x:f>
        <x:v>320</x:v>
      </x:c>
      <x:c r="H816" t="n">
        <x:f>MAX(D816-$B$5,0)</x:f>
        <x:v>275</x:v>
      </x:c>
      <x:c r="I816" t="n">
        <x:f>MAX($B$5-D816,0)</x:f>
        <x:v>0</x:v>
      </x:c>
    </x:row>
    <x:row r="817">
      <x:c r="A817" t="n">
        <x:f>805</x:f>
        <x:v>805</x:v>
      </x:c>
      <x:c r="B817" t="n">
        <x:f>RAND()</x:f>
        <x:v>0.9445851752185516</x:v>
      </x:c>
      <x:c r="C817" t="n">
        <x:f>MIN(47,INT(B817*47)+1)</x:f>
        <x:v>45</x:v>
      </x:c>
      <x:c r="D817" t="n">
        <x:f>INDEX(Datos_47_semanas!$B$4:$B$50,C817)</x:f>
        <x:v>526</x:v>
      </x:c>
      <x:c r="E817" t="n">
        <x:f>MIN($B$4,D817)*$B$7+MAX($B$4-D817,0)*$B$9-$B$4*$B$8</x:f>
        <x:v>200</x:v>
      </x:c>
      <x:c r="F817" t="n">
        <x:f>MIN($B$5,D817)*$B$7+MAX($B$5-D817,0)*$B$9-$B$5*$B$8</x:f>
        <x:v>240</x:v>
      </x:c>
      <x:c r="G817" t="n">
        <x:f>MIN($B$6,D817)*$B$7+MAX($B$6-D817,0)*$B$9-$B$6*$B$8</x:f>
        <x:v>320</x:v>
      </x:c>
      <x:c r="H817" t="n">
        <x:f>MAX(D817-$B$5,0)</x:f>
        <x:v>226</x:v>
      </x:c>
      <x:c r="I817" t="n">
        <x:f>MAX($B$5-D817,0)</x:f>
        <x:v>0</x:v>
      </x:c>
    </x:row>
    <x:row r="818">
      <x:c r="A818" t="n">
        <x:f>806</x:f>
        <x:v>806</x:v>
      </x:c>
      <x:c r="B818" t="n">
        <x:f>RAND()</x:f>
        <x:v>0.801915710073359</x:v>
      </x:c>
      <x:c r="C818" t="n">
        <x:f>MIN(47,INT(B818*47)+1)</x:f>
        <x:v>38</x:v>
      </x:c>
      <x:c r="D818" t="n">
        <x:f>INDEX(Datos_47_semanas!$B$4:$B$50,C818)</x:f>
        <x:v>212</x:v>
      </x:c>
      <x:c r="E818" t="n">
        <x:f>MIN($B$4,D818)*$B$7+MAX($B$4-D818,0)*$B$9-$B$4*$B$8</x:f>
        <x:v>148.69999999999993</x:v>
      </x:c>
      <x:c r="F818" t="n">
        <x:f>MIN($B$5,D818)*$B$7+MAX($B$5-D818,0)*$B$9-$B$5*$B$8</x:f>
        <x:v>121.19999999999993</x:v>
      </x:c>
      <x:c r="G818" t="n">
        <x:f>MIN($B$6,D818)*$B$7+MAX($B$6-D818,0)*$B$9-$B$6*$B$8</x:f>
        <x:v>66.19999999999993</x:v>
      </x:c>
      <x:c r="H818" t="n">
        <x:f>MAX(D818-$B$5,0)</x:f>
        <x:v>0</x:v>
      </x:c>
      <x:c r="I818" t="n">
        <x:f>MAX($B$5-D818,0)</x:f>
        <x:v>88</x:v>
      </x:c>
    </x:row>
    <x:row r="819">
      <x:c r="A819" t="n">
        <x:f>807</x:f>
        <x:v>807</x:v>
      </x:c>
      <x:c r="B819" t="n">
        <x:f>RAND()</x:f>
        <x:v>0.5986956558647311</x:v>
      </x:c>
      <x:c r="C819" t="n">
        <x:f>MIN(47,INT(B819*47)+1)</x:f>
        <x:v>29</x:v>
      </x:c>
      <x:c r="D819" t="n">
        <x:f>INDEX(Datos_47_semanas!$B$4:$B$50,C819)</x:f>
        <x:v>415</x:v>
      </x:c>
      <x:c r="E819" t="n">
        <x:f>MIN($B$4,D819)*$B$7+MAX($B$4-D819,0)*$B$9-$B$4*$B$8</x:f>
        <x:v>200</x:v>
      </x:c>
      <x:c r="F819" t="n">
        <x:f>MIN($B$5,D819)*$B$7+MAX($B$5-D819,0)*$B$9-$B$5*$B$8</x:f>
        <x:v>240</x:v>
      </x:c>
      <x:c r="G819" t="n">
        <x:f>MIN($B$6,D819)*$B$7+MAX($B$6-D819,0)*$B$9-$B$6*$B$8</x:f>
        <x:v>320</x:v>
      </x:c>
      <x:c r="H819" t="n">
        <x:f>MAX(D819-$B$5,0)</x:f>
        <x:v>115</x:v>
      </x:c>
      <x:c r="I819" t="n">
        <x:f>MAX($B$5-D819,0)</x:f>
        <x:v>0</x:v>
      </x:c>
    </x:row>
    <x:row r="820">
      <x:c r="A820" t="n">
        <x:f>808</x:f>
        <x:v>808</x:v>
      </x:c>
      <x:c r="B820" t="n">
        <x:f>RAND()</x:f>
        <x:v>0.259669395258868</x:v>
      </x:c>
      <x:c r="C820" t="n">
        <x:f>MIN(47,INT(B820*47)+1)</x:f>
        <x:v>13</x:v>
      </x:c>
      <x:c r="D820" t="n">
        <x:f>INDEX(Datos_47_semanas!$B$4:$B$50,C820)</x:f>
        <x:v>517</x:v>
      </x:c>
      <x:c r="E820" t="n">
        <x:f>MIN($B$4,D820)*$B$7+MAX($B$4-D820,0)*$B$9-$B$4*$B$8</x:f>
        <x:v>200</x:v>
      </x:c>
      <x:c r="F820" t="n">
        <x:f>MIN($B$5,D820)*$B$7+MAX($B$5-D820,0)*$B$9-$B$5*$B$8</x:f>
        <x:v>240</x:v>
      </x:c>
      <x:c r="G820" t="n">
        <x:f>MIN($B$6,D820)*$B$7+MAX($B$6-D820,0)*$B$9-$B$6*$B$8</x:f>
        <x:v>320</x:v>
      </x:c>
      <x:c r="H820" t="n">
        <x:f>MAX(D820-$B$5,0)</x:f>
        <x:v>217</x:v>
      </x:c>
      <x:c r="I820" t="n">
        <x:f>MAX($B$5-D820,0)</x:f>
        <x:v>0</x:v>
      </x:c>
    </x:row>
    <x:row r="821">
      <x:c r="A821" t="n">
        <x:f>809</x:f>
        <x:v>809</x:v>
      </x:c>
      <x:c r="B821" t="n">
        <x:f>RAND()</x:f>
        <x:v>0.4883819502799692</x:v>
      </x:c>
      <x:c r="C821" t="n">
        <x:f>MIN(47,INT(B821*47)+1)</x:f>
        <x:v>23</x:v>
      </x:c>
      <x:c r="D821" t="n">
        <x:f>INDEX(Datos_47_semanas!$B$4:$B$50,C821)</x:f>
        <x:v>565</x:v>
      </x:c>
      <x:c r="E821" t="n">
        <x:f>MIN($B$4,D821)*$B$7+MAX($B$4-D821,0)*$B$9-$B$4*$B$8</x:f>
        <x:v>200</x:v>
      </x:c>
      <x:c r="F821" t="n">
        <x:f>MIN($B$5,D821)*$B$7+MAX($B$5-D821,0)*$B$9-$B$5*$B$8</x:f>
        <x:v>240</x:v>
      </x:c>
      <x:c r="G821" t="n">
        <x:f>MIN($B$6,D821)*$B$7+MAX($B$6-D821,0)*$B$9-$B$6*$B$8</x:f>
        <x:v>320</x:v>
      </x:c>
      <x:c r="H821" t="n">
        <x:f>MAX(D821-$B$5,0)</x:f>
        <x:v>265</x:v>
      </x:c>
      <x:c r="I821" t="n">
        <x:f>MAX($B$5-D821,0)</x:f>
        <x:v>0</x:v>
      </x:c>
    </x:row>
    <x:row r="822">
      <x:c r="A822" t="n">
        <x:f>810</x:f>
        <x:v>810</x:v>
      </x:c>
      <x:c r="B822" t="n">
        <x:f>RAND()</x:f>
        <x:v>0.9971589674335594</x:v>
      </x:c>
      <x:c r="C822" t="n">
        <x:f>MIN(47,INT(B822*47)+1)</x:f>
        <x:v>47</x:v>
      </x:c>
      <x:c r="D822" t="n">
        <x:f>INDEX(Datos_47_semanas!$B$4:$B$50,C822)</x:f>
        <x:v>256</x:v>
      </x:c>
      <x:c r="E822" t="n">
        <x:f>MIN($B$4,D822)*$B$7+MAX($B$4-D822,0)*$B$9-$B$4*$B$8</x:f>
        <x:v>200</x:v>
      </x:c>
      <x:c r="F822" t="n">
        <x:f>MIN($B$5,D822)*$B$7+MAX($B$5-D822,0)*$B$9-$B$5*$B$8</x:f>
        <x:v>180.59999999999997</x:v>
      </x:c>
      <x:c r="G822" t="n">
        <x:f>MIN($B$6,D822)*$B$7+MAX($B$6-D822,0)*$B$9-$B$6*$B$8</x:f>
        <x:v>125.59999999999997</x:v>
      </x:c>
      <x:c r="H822" t="n">
        <x:f>MAX(D822-$B$5,0)</x:f>
        <x:v>0</x:v>
      </x:c>
      <x:c r="I822" t="n">
        <x:f>MAX($B$5-D822,0)</x:f>
        <x:v>44</x:v>
      </x:c>
    </x:row>
    <x:row r="823">
      <x:c r="A823" t="n">
        <x:f>811</x:f>
        <x:v>811</x:v>
      </x:c>
      <x:c r="B823" t="n">
        <x:f>RAND()</x:f>
        <x:v>0.03154051783354628</x:v>
      </x:c>
      <x:c r="C823" t="n">
        <x:f>MIN(47,INT(B823*47)+1)</x:f>
        <x:v>2</x:v>
      </x:c>
      <x:c r="D823" t="n">
        <x:f>INDEX(Datos_47_semanas!$B$4:$B$50,C823)</x:f>
        <x:v>282</x:v>
      </x:c>
      <x:c r="E823" t="n">
        <x:f>MIN($B$4,D823)*$B$7+MAX($B$4-D823,0)*$B$9-$B$4*$B$8</x:f>
        <x:v>200</x:v>
      </x:c>
      <x:c r="F823" t="n">
        <x:f>MIN($B$5,D823)*$B$7+MAX($B$5-D823,0)*$B$9-$B$5*$B$8</x:f>
        <x:v>215.69999999999993</x:v>
      </x:c>
      <x:c r="G823" t="n">
        <x:f>MIN($B$6,D823)*$B$7+MAX($B$6-D823,0)*$B$9-$B$6*$B$8</x:f>
        <x:v>160.69999999999993</x:v>
      </x:c>
      <x:c r="H823" t="n">
        <x:f>MAX(D823-$B$5,0)</x:f>
        <x:v>0</x:v>
      </x:c>
      <x:c r="I823" t="n">
        <x:f>MAX($B$5-D823,0)</x:f>
        <x:v>18</x:v>
      </x:c>
    </x:row>
    <x:row r="824">
      <x:c r="A824" t="n">
        <x:f>812</x:f>
        <x:v>812</x:v>
      </x:c>
      <x:c r="B824" t="n">
        <x:f>RAND()</x:f>
        <x:v>0.5762310026314768</x:v>
      </x:c>
      <x:c r="C824" t="n">
        <x:f>MIN(47,INT(B824*47)+1)</x:f>
        <x:v>28</x:v>
      </x:c>
      <x:c r="D824" t="n">
        <x:f>INDEX(Datos_47_semanas!$B$4:$B$50,C824)</x:f>
        <x:v>201</x:v>
      </x:c>
      <x:c r="E824" t="n">
        <x:f>MIN($B$4,D824)*$B$7+MAX($B$4-D824,0)*$B$9-$B$4*$B$8</x:f>
        <x:v>133.84999999999997</x:v>
      </x:c>
      <x:c r="F824" t="n">
        <x:f>MIN($B$5,D824)*$B$7+MAX($B$5-D824,0)*$B$9-$B$5*$B$8</x:f>
        <x:v>106.34999999999997</x:v>
      </x:c>
      <x:c r="G824" t="n">
        <x:f>MIN($B$6,D824)*$B$7+MAX($B$6-D824,0)*$B$9-$B$6*$B$8</x:f>
        <x:v>51.349999999999966</x:v>
      </x:c>
      <x:c r="H824" t="n">
        <x:f>MAX(D824-$B$5,0)</x:f>
        <x:v>0</x:v>
      </x:c>
      <x:c r="I824" t="n">
        <x:f>MAX($B$5-D824,0)</x:f>
        <x:v>99</x:v>
      </x:c>
    </x:row>
    <x:row r="825">
      <x:c r="A825" t="n">
        <x:f>813</x:f>
        <x:v>813</x:v>
      </x:c>
      <x:c r="B825" t="n">
        <x:f>RAND()</x:f>
        <x:v>0.9264997262923819</x:v>
      </x:c>
      <x:c r="C825" t="n">
        <x:f>MIN(47,INT(B825*47)+1)</x:f>
        <x:v>44</x:v>
      </x:c>
      <x:c r="D825" t="n">
        <x:f>INDEX(Datos_47_semanas!$B$4:$B$50,C825)</x:f>
        <x:v>223</x:v>
      </x:c>
      <x:c r="E825" t="n">
        <x:f>MIN($B$4,D825)*$B$7+MAX($B$4-D825,0)*$B$9-$B$4*$B$8</x:f>
        <x:v>163.55</x:v>
      </x:c>
      <x:c r="F825" t="n">
        <x:f>MIN($B$5,D825)*$B$7+MAX($B$5-D825,0)*$B$9-$B$5*$B$8</x:f>
        <x:v>136.05</x:v>
      </x:c>
      <x:c r="G825" t="n">
        <x:f>MIN($B$6,D825)*$B$7+MAX($B$6-D825,0)*$B$9-$B$6*$B$8</x:f>
        <x:v>81.05000000000001</x:v>
      </x:c>
      <x:c r="H825" t="n">
        <x:f>MAX(D825-$B$5,0)</x:f>
        <x:v>0</x:v>
      </x:c>
      <x:c r="I825" t="n">
        <x:f>MAX($B$5-D825,0)</x:f>
        <x:v>77</x:v>
      </x:c>
    </x:row>
    <x:row r="826">
      <x:c r="A826" t="n">
        <x:f>814</x:f>
        <x:v>814</x:v>
      </x:c>
      <x:c r="B826" t="n">
        <x:f>RAND()</x:f>
        <x:v>0.14000930064274641</x:v>
      </x:c>
      <x:c r="C826" t="n">
        <x:f>MIN(47,INT(B826*47)+1)</x:f>
        <x:v>7</x:v>
      </x:c>
      <x:c r="D826" t="n">
        <x:f>INDEX(Datos_47_semanas!$B$4:$B$50,C826)</x:f>
        <x:v>249</x:v>
      </x:c>
      <x:c r="E826" t="n">
        <x:f>MIN($B$4,D826)*$B$7+MAX($B$4-D826,0)*$B$9-$B$4*$B$8</x:f>
        <x:v>198.64999999999998</x:v>
      </x:c>
      <x:c r="F826" t="n">
        <x:f>MIN($B$5,D826)*$B$7+MAX($B$5-D826,0)*$B$9-$B$5*$B$8</x:f>
        <x:v>171.14999999999998</x:v>
      </x:c>
      <x:c r="G826" t="n">
        <x:f>MIN($B$6,D826)*$B$7+MAX($B$6-D826,0)*$B$9-$B$6*$B$8</x:f>
        <x:v>116.14999999999998</x:v>
      </x:c>
      <x:c r="H826" t="n">
        <x:f>MAX(D826-$B$5,0)</x:f>
        <x:v>0</x:v>
      </x:c>
      <x:c r="I826" t="n">
        <x:f>MAX($B$5-D826,0)</x:f>
        <x:v>51</x:v>
      </x:c>
    </x:row>
    <x:row r="827">
      <x:c r="A827" t="n">
        <x:f>815</x:f>
        <x:v>815</x:v>
      </x:c>
      <x:c r="B827" t="n">
        <x:f>RAND()</x:f>
        <x:v>0.25565882275329777</x:v>
      </x:c>
      <x:c r="C827" t="n">
        <x:f>MIN(47,INT(B827*47)+1)</x:f>
        <x:v>13</x:v>
      </x:c>
      <x:c r="D827" t="n">
        <x:f>INDEX(Datos_47_semanas!$B$4:$B$50,C827)</x:f>
        <x:v>517</x:v>
      </x:c>
      <x:c r="E827" t="n">
        <x:f>MIN($B$4,D827)*$B$7+MAX($B$4-D827,0)*$B$9-$B$4*$B$8</x:f>
        <x:v>200</x:v>
      </x:c>
      <x:c r="F827" t="n">
        <x:f>MIN($B$5,D827)*$B$7+MAX($B$5-D827,0)*$B$9-$B$5*$B$8</x:f>
        <x:v>240</x:v>
      </x:c>
      <x:c r="G827" t="n">
        <x:f>MIN($B$6,D827)*$B$7+MAX($B$6-D827,0)*$B$9-$B$6*$B$8</x:f>
        <x:v>320</x:v>
      </x:c>
      <x:c r="H827" t="n">
        <x:f>MAX(D827-$B$5,0)</x:f>
        <x:v>217</x:v>
      </x:c>
      <x:c r="I827" t="n">
        <x:f>MAX($B$5-D827,0)</x:f>
        <x:v>0</x:v>
      </x:c>
    </x:row>
    <x:row r="828">
      <x:c r="A828" t="n">
        <x:f>816</x:f>
        <x:v>816</x:v>
      </x:c>
      <x:c r="B828" t="n">
        <x:f>RAND()</x:f>
        <x:v>0.2891947970097497</x:v>
      </x:c>
      <x:c r="C828" t="n">
        <x:f>MIN(47,INT(B828*47)+1)</x:f>
        <x:v>14</x:v>
      </x:c>
      <x:c r="D828" t="n">
        <x:f>INDEX(Datos_47_semanas!$B$4:$B$50,C828)</x:f>
        <x:v>187</x:v>
      </x:c>
      <x:c r="E828" t="n">
        <x:f>MIN($B$4,D828)*$B$7+MAX($B$4-D828,0)*$B$9-$B$4*$B$8</x:f>
        <x:v>114.94999999999999</x:v>
      </x:c>
      <x:c r="F828" t="n">
        <x:f>MIN($B$5,D828)*$B$7+MAX($B$5-D828,0)*$B$9-$B$5*$B$8</x:f>
        <x:v>87.44999999999999</x:v>
      </x:c>
      <x:c r="G828" t="n">
        <x:f>MIN($B$6,D828)*$B$7+MAX($B$6-D828,0)*$B$9-$B$6*$B$8</x:f>
        <x:v>32.44999999999999</x:v>
      </x:c>
      <x:c r="H828" t="n">
        <x:f>MAX(D828-$B$5,0)</x:f>
        <x:v>0</x:v>
      </x:c>
      <x:c r="I828" t="n">
        <x:f>MAX($B$5-D828,0)</x:f>
        <x:v>113</x:v>
      </x:c>
    </x:row>
    <x:row r="829">
      <x:c r="A829" t="n">
        <x:f>817</x:f>
        <x:v>817</x:v>
      </x:c>
      <x:c r="B829" t="n">
        <x:f>RAND()</x:f>
        <x:v>0.6322580094656541</x:v>
      </x:c>
      <x:c r="C829" t="n">
        <x:f>MIN(47,INT(B829*47)+1)</x:f>
        <x:v>30</x:v>
      </x:c>
      <x:c r="D829" t="n">
        <x:f>INDEX(Datos_47_semanas!$B$4:$B$50,C829)</x:f>
        <x:v>345</x:v>
      </x:c>
      <x:c r="E829" t="n">
        <x:f>MIN($B$4,D829)*$B$7+MAX($B$4-D829,0)*$B$9-$B$4*$B$8</x:f>
        <x:v>200</x:v>
      </x:c>
      <x:c r="F829" t="n">
        <x:f>MIN($B$5,D829)*$B$7+MAX($B$5-D829,0)*$B$9-$B$5*$B$8</x:f>
        <x:v>240</x:v>
      </x:c>
      <x:c r="G829" t="n">
        <x:f>MIN($B$6,D829)*$B$7+MAX($B$6-D829,0)*$B$9-$B$6*$B$8</x:f>
        <x:v>245.75</x:v>
      </x:c>
      <x:c r="H829" t="n">
        <x:f>MAX(D829-$B$5,0)</x:f>
        <x:v>45</x:v>
      </x:c>
      <x:c r="I829" t="n">
        <x:f>MAX($B$5-D829,0)</x:f>
        <x:v>0</x:v>
      </x:c>
    </x:row>
    <x:row r="830">
      <x:c r="A830" t="n">
        <x:f>818</x:f>
        <x:v>818</x:v>
      </x:c>
      <x:c r="B830" t="n">
        <x:f>RAND()</x:f>
        <x:v>0.11013105383567134</x:v>
      </x:c>
      <x:c r="C830" t="n">
        <x:f>MIN(47,INT(B830*47)+1)</x:f>
        <x:v>6</x:v>
      </x:c>
      <x:c r="D830" t="n">
        <x:f>INDEX(Datos_47_semanas!$B$4:$B$50,C830)</x:f>
        <x:v>155</x:v>
      </x:c>
      <x:c r="E830" t="n">
        <x:f>MIN($B$4,D830)*$B$7+MAX($B$4-D830,0)*$B$9-$B$4*$B$8</x:f>
        <x:v>71.75</x:v>
      </x:c>
      <x:c r="F830" t="n">
        <x:f>MIN($B$5,D830)*$B$7+MAX($B$5-D830,0)*$B$9-$B$5*$B$8</x:f>
        <x:v>44.25</x:v>
      </x:c>
      <x:c r="G830" t="n">
        <x:f>MIN($B$6,D830)*$B$7+MAX($B$6-D830,0)*$B$9-$B$6*$B$8</x:f>
        <x:v>-10.75</x:v>
      </x:c>
      <x:c r="H830" t="n">
        <x:f>MAX(D830-$B$5,0)</x:f>
        <x:v>0</x:v>
      </x:c>
      <x:c r="I830" t="n">
        <x:f>MAX($B$5-D830,0)</x:f>
        <x:v>145</x:v>
      </x:c>
    </x:row>
    <x:row r="831">
      <x:c r="A831" t="n">
        <x:f>819</x:f>
        <x:v>819</x:v>
      </x:c>
      <x:c r="B831" t="n">
        <x:f>RAND()</x:f>
        <x:v>0.3248711380430862</x:v>
      </x:c>
      <x:c r="C831" t="n">
        <x:f>MIN(47,INT(B831*47)+1)</x:f>
        <x:v>16</x:v>
      </x:c>
      <x:c r="D831" t="n">
        <x:f>INDEX(Datos_47_semanas!$B$4:$B$50,C831)</x:f>
        <x:v>318</x:v>
      </x:c>
      <x:c r="E831" t="n">
        <x:f>MIN($B$4,D831)*$B$7+MAX($B$4-D831,0)*$B$9-$B$4*$B$8</x:f>
        <x:v>200</x:v>
      </x:c>
      <x:c r="F831" t="n">
        <x:f>MIN($B$5,D831)*$B$7+MAX($B$5-D831,0)*$B$9-$B$5*$B$8</x:f>
        <x:v>240</x:v>
      </x:c>
      <x:c r="G831" t="n">
        <x:f>MIN($B$6,D831)*$B$7+MAX($B$6-D831,0)*$B$9-$B$6*$B$8</x:f>
        <x:v>209.29999999999995</x:v>
      </x:c>
      <x:c r="H831" t="n">
        <x:f>MAX(D831-$B$5,0)</x:f>
        <x:v>18</x:v>
      </x:c>
      <x:c r="I831" t="n">
        <x:f>MAX($B$5-D831,0)</x:f>
        <x:v>0</x:v>
      </x:c>
    </x:row>
    <x:row r="832">
      <x:c r="A832" t="n">
        <x:f>820</x:f>
        <x:v>820</x:v>
      </x:c>
      <x:c r="B832" t="n">
        <x:f>RAND()</x:f>
        <x:v>0.8808385830771543</x:v>
      </x:c>
      <x:c r="C832" t="n">
        <x:f>MIN(47,INT(B832*47)+1)</x:f>
        <x:v>42</x:v>
      </x:c>
      <x:c r="D832" t="n">
        <x:f>INDEX(Datos_47_semanas!$B$4:$B$50,C832)</x:f>
        <x:v>146</x:v>
      </x:c>
      <x:c r="E832" t="n">
        <x:f>MIN($B$4,D832)*$B$7+MAX($B$4-D832,0)*$B$9-$B$4*$B$8</x:f>
        <x:v>59.599999999999966</x:v>
      </x:c>
      <x:c r="F832" t="n">
        <x:f>MIN($B$5,D832)*$B$7+MAX($B$5-D832,0)*$B$9-$B$5*$B$8</x:f>
        <x:v>32.099999999999966</x:v>
      </x:c>
      <x:c r="G832" t="n">
        <x:f>MIN($B$6,D832)*$B$7+MAX($B$6-D832,0)*$B$9-$B$6*$B$8</x:f>
        <x:v>-22.900000000000034</x:v>
      </x:c>
      <x:c r="H832" t="n">
        <x:f>MAX(D832-$B$5,0)</x:f>
        <x:v>0</x:v>
      </x:c>
      <x:c r="I832" t="n">
        <x:f>MAX($B$5-D832,0)</x:f>
        <x:v>154</x:v>
      </x:c>
    </x:row>
    <x:row r="833">
      <x:c r="A833" t="n">
        <x:f>821</x:f>
        <x:v>821</x:v>
      </x:c>
      <x:c r="B833" t="n">
        <x:f>RAND()</x:f>
        <x:v>0.15742825444525177</x:v>
      </x:c>
      <x:c r="C833" t="n">
        <x:f>MIN(47,INT(B833*47)+1)</x:f>
        <x:v>8</x:v>
      </x:c>
      <x:c r="D833" t="n">
        <x:f>INDEX(Datos_47_semanas!$B$4:$B$50,C833)</x:f>
        <x:v>259</x:v>
      </x:c>
      <x:c r="E833" t="n">
        <x:f>MIN($B$4,D833)*$B$7+MAX($B$4-D833,0)*$B$9-$B$4*$B$8</x:f>
        <x:v>200</x:v>
      </x:c>
      <x:c r="F833" t="n">
        <x:f>MIN($B$5,D833)*$B$7+MAX($B$5-D833,0)*$B$9-$B$5*$B$8</x:f>
        <x:v>184.64999999999998</x:v>
      </x:c>
      <x:c r="G833" t="n">
        <x:f>MIN($B$6,D833)*$B$7+MAX($B$6-D833,0)*$B$9-$B$6*$B$8</x:f>
        <x:v>129.64999999999998</x:v>
      </x:c>
      <x:c r="H833" t="n">
        <x:f>MAX(D833-$B$5,0)</x:f>
        <x:v>0</x:v>
      </x:c>
      <x:c r="I833" t="n">
        <x:f>MAX($B$5-D833,0)</x:f>
        <x:v>41</x:v>
      </x:c>
    </x:row>
    <x:row r="834">
      <x:c r="A834" t="n">
        <x:f>822</x:f>
        <x:v>822</x:v>
      </x:c>
      <x:c r="B834" t="n">
        <x:f>RAND()</x:f>
        <x:v>0.5093229603533719</x:v>
      </x:c>
      <x:c r="C834" t="n">
        <x:f>MIN(47,INT(B834*47)+1)</x:f>
        <x:v>24</x:v>
      </x:c>
      <x:c r="D834" t="n">
        <x:f>INDEX(Datos_47_semanas!$B$4:$B$50,C834)</x:f>
        <x:v>186</x:v>
      </x:c>
      <x:c r="E834" t="n">
        <x:f>MIN($B$4,D834)*$B$7+MAX($B$4-D834,0)*$B$9-$B$4*$B$8</x:f>
        <x:v>113.59999999999997</x:v>
      </x:c>
      <x:c r="F834" t="n">
        <x:f>MIN($B$5,D834)*$B$7+MAX($B$5-D834,0)*$B$9-$B$5*$B$8</x:f>
        <x:v>86.09999999999997</x:v>
      </x:c>
      <x:c r="G834" t="n">
        <x:f>MIN($B$6,D834)*$B$7+MAX($B$6-D834,0)*$B$9-$B$6*$B$8</x:f>
        <x:v>31.099999999999966</x:v>
      </x:c>
      <x:c r="H834" t="n">
        <x:f>MAX(D834-$B$5,0)</x:f>
        <x:v>0</x:v>
      </x:c>
      <x:c r="I834" t="n">
        <x:f>MAX($B$5-D834,0)</x:f>
        <x:v>114</x:v>
      </x:c>
    </x:row>
    <x:row r="835">
      <x:c r="A835" t="n">
        <x:f>823</x:f>
        <x:v>823</x:v>
      </x:c>
      <x:c r="B835" t="n">
        <x:f>RAND()</x:f>
        <x:v>0.19347043253785723</x:v>
      </x:c>
      <x:c r="C835" t="n">
        <x:f>MIN(47,INT(B835*47)+1)</x:f>
        <x:v>10</x:v>
      </x:c>
      <x:c r="D835" t="n">
        <x:f>INDEX(Datos_47_semanas!$B$4:$B$50,C835)</x:f>
        <x:v>98</x:v>
      </x:c>
      <x:c r="E835" t="n">
        <x:f>MIN($B$4,D835)*$B$7+MAX($B$4-D835,0)*$B$9-$B$4*$B$8</x:f>
        <x:v>-5.200000000000017</x:v>
      </x:c>
      <x:c r="F835" t="n">
        <x:f>MIN($B$5,D835)*$B$7+MAX($B$5-D835,0)*$B$9-$B$5*$B$8</x:f>
        <x:v>-32.70000000000002</x:v>
      </x:c>
      <x:c r="G835" t="n">
        <x:f>MIN($B$6,D835)*$B$7+MAX($B$6-D835,0)*$B$9-$B$6*$B$8</x:f>
        <x:v>-87.70000000000002</x:v>
      </x:c>
      <x:c r="H835" t="n">
        <x:f>MAX(D835-$B$5,0)</x:f>
        <x:v>0</x:v>
      </x:c>
      <x:c r="I835" t="n">
        <x:f>MAX($B$5-D835,0)</x:f>
        <x:v>202</x:v>
      </x:c>
    </x:row>
    <x:row r="836">
      <x:c r="A836" t="n">
        <x:f>824</x:f>
        <x:v>824</x:v>
      </x:c>
      <x:c r="B836" t="n">
        <x:f>RAND()</x:f>
        <x:v>0.28646892545104874</x:v>
      </x:c>
      <x:c r="C836" t="n">
        <x:f>MIN(47,INT(B836*47)+1)</x:f>
        <x:v>14</x:v>
      </x:c>
      <x:c r="D836" t="n">
        <x:f>INDEX(Datos_47_semanas!$B$4:$B$50,C836)</x:f>
        <x:v>187</x:v>
      </x:c>
      <x:c r="E836" t="n">
        <x:f>MIN($B$4,D836)*$B$7+MAX($B$4-D836,0)*$B$9-$B$4*$B$8</x:f>
        <x:v>114.94999999999999</x:v>
      </x:c>
      <x:c r="F836" t="n">
        <x:f>MIN($B$5,D836)*$B$7+MAX($B$5-D836,0)*$B$9-$B$5*$B$8</x:f>
        <x:v>87.44999999999999</x:v>
      </x:c>
      <x:c r="G836" t="n">
        <x:f>MIN($B$6,D836)*$B$7+MAX($B$6-D836,0)*$B$9-$B$6*$B$8</x:f>
        <x:v>32.44999999999999</x:v>
      </x:c>
      <x:c r="H836" t="n">
        <x:f>MAX(D836-$B$5,0)</x:f>
        <x:v>0</x:v>
      </x:c>
      <x:c r="I836" t="n">
        <x:f>MAX($B$5-D836,0)</x:f>
        <x:v>113</x:v>
      </x:c>
    </x:row>
    <x:row r="837">
      <x:c r="A837" t="n">
        <x:f>825</x:f>
        <x:v>825</x:v>
      </x:c>
      <x:c r="B837" t="n">
        <x:f>RAND()</x:f>
        <x:v>0.4127117197562067</x:v>
      </x:c>
      <x:c r="C837" t="n">
        <x:f>MIN(47,INT(B837*47)+1)</x:f>
        <x:v>20</x:v>
      </x:c>
      <x:c r="D837" t="n">
        <x:f>INDEX(Datos_47_semanas!$B$4:$B$50,C837)</x:f>
        <x:v>335</x:v>
      </x:c>
      <x:c r="E837" t="n">
        <x:f>MIN($B$4,D837)*$B$7+MAX($B$4-D837,0)*$B$9-$B$4*$B$8</x:f>
        <x:v>200</x:v>
      </x:c>
      <x:c r="F837" t="n">
        <x:f>MIN($B$5,D837)*$B$7+MAX($B$5-D837,0)*$B$9-$B$5*$B$8</x:f>
        <x:v>240</x:v>
      </x:c>
      <x:c r="G837" t="n">
        <x:f>MIN($B$6,D837)*$B$7+MAX($B$6-D837,0)*$B$9-$B$6*$B$8</x:f>
        <x:v>232.25</x:v>
      </x:c>
      <x:c r="H837" t="n">
        <x:f>MAX(D837-$B$5,0)</x:f>
        <x:v>35</x:v>
      </x:c>
      <x:c r="I837" t="n">
        <x:f>MAX($B$5-D837,0)</x:f>
        <x:v>0</x:v>
      </x:c>
    </x:row>
    <x:row r="838">
      <x:c r="A838" t="n">
        <x:f>826</x:f>
        <x:v>826</x:v>
      </x:c>
      <x:c r="B838" t="n">
        <x:f>RAND()</x:f>
        <x:v>0.606309353571068</x:v>
      </x:c>
      <x:c r="C838" t="n">
        <x:f>MIN(47,INT(B838*47)+1)</x:f>
        <x:v>29</x:v>
      </x:c>
      <x:c r="D838" t="n">
        <x:f>INDEX(Datos_47_semanas!$B$4:$B$50,C838)</x:f>
        <x:v>415</x:v>
      </x:c>
      <x:c r="E838" t="n">
        <x:f>MIN($B$4,D838)*$B$7+MAX($B$4-D838,0)*$B$9-$B$4*$B$8</x:f>
        <x:v>200</x:v>
      </x:c>
      <x:c r="F838" t="n">
        <x:f>MIN($B$5,D838)*$B$7+MAX($B$5-D838,0)*$B$9-$B$5*$B$8</x:f>
        <x:v>240</x:v>
      </x:c>
      <x:c r="G838" t="n">
        <x:f>MIN($B$6,D838)*$B$7+MAX($B$6-D838,0)*$B$9-$B$6*$B$8</x:f>
        <x:v>320</x:v>
      </x:c>
      <x:c r="H838" t="n">
        <x:f>MAX(D838-$B$5,0)</x:f>
        <x:v>115</x:v>
      </x:c>
      <x:c r="I838" t="n">
        <x:f>MAX($B$5-D838,0)</x:f>
        <x:v>0</x:v>
      </x:c>
    </x:row>
    <x:row r="839">
      <x:c r="A839" t="n">
        <x:f>827</x:f>
        <x:v>827</x:v>
      </x:c>
      <x:c r="B839" t="n">
        <x:f>RAND()</x:f>
        <x:v>0.22666031325119695</x:v>
      </x:c>
      <x:c r="C839" t="n">
        <x:f>MIN(47,INT(B839*47)+1)</x:f>
        <x:v>11</x:v>
      </x:c>
      <x:c r="D839" t="n">
        <x:f>INDEX(Datos_47_semanas!$B$4:$B$50,C839)</x:f>
        <x:v>268</x:v>
      </x:c>
      <x:c r="E839" t="n">
        <x:f>MIN($B$4,D839)*$B$7+MAX($B$4-D839,0)*$B$9-$B$4*$B$8</x:f>
        <x:v>200</x:v>
      </x:c>
      <x:c r="F839" t="n">
        <x:f>MIN($B$5,D839)*$B$7+MAX($B$5-D839,0)*$B$9-$B$5*$B$8</x:f>
        <x:v>196.8</x:v>
      </x:c>
      <x:c r="G839" t="n">
        <x:f>MIN($B$6,D839)*$B$7+MAX($B$6-D839,0)*$B$9-$B$6*$B$8</x:f>
        <x:v>141.8</x:v>
      </x:c>
      <x:c r="H839" t="n">
        <x:f>MAX(D839-$B$5,0)</x:f>
        <x:v>0</x:v>
      </x:c>
      <x:c r="I839" t="n">
        <x:f>MAX($B$5-D839,0)</x:f>
        <x:v>32</x:v>
      </x:c>
    </x:row>
    <x:row r="840">
      <x:c r="A840" t="n">
        <x:f>828</x:f>
        <x:v>828</x:v>
      </x:c>
      <x:c r="B840" t="n">
        <x:f>RAND()</x:f>
        <x:v>0.06519735210262378</x:v>
      </x:c>
      <x:c r="C840" t="n">
        <x:f>MIN(47,INT(B840*47)+1)</x:f>
        <x:v>4</x:v>
      </x:c>
      <x:c r="D840" t="n">
        <x:f>INDEX(Datos_47_semanas!$B$4:$B$50,C840)</x:f>
        <x:v>161</x:v>
      </x:c>
      <x:c r="E840" t="n">
        <x:f>MIN($B$4,D840)*$B$7+MAX($B$4-D840,0)*$B$9-$B$4*$B$8</x:f>
        <x:v>79.84999999999997</x:v>
      </x:c>
      <x:c r="F840" t="n">
        <x:f>MIN($B$5,D840)*$B$7+MAX($B$5-D840,0)*$B$9-$B$5*$B$8</x:f>
        <x:v>52.349999999999966</x:v>
      </x:c>
      <x:c r="G840" t="n">
        <x:f>MIN($B$6,D840)*$B$7+MAX($B$6-D840,0)*$B$9-$B$6*$B$8</x:f>
        <x:v>-2.650000000000034</x:v>
      </x:c>
      <x:c r="H840" t="n">
        <x:f>MAX(D840-$B$5,0)</x:f>
        <x:v>0</x:v>
      </x:c>
      <x:c r="I840" t="n">
        <x:f>MAX($B$5-D840,0)</x:f>
        <x:v>139</x:v>
      </x:c>
    </x:row>
    <x:row r="841">
      <x:c r="A841" t="n">
        <x:f>829</x:f>
        <x:v>829</x:v>
      </x:c>
      <x:c r="B841" t="n">
        <x:f>RAND()</x:f>
        <x:v>0.3242883970138132</x:v>
      </x:c>
      <x:c r="C841" t="n">
        <x:f>MIN(47,INT(B841*47)+1)</x:f>
        <x:v>16</x:v>
      </x:c>
      <x:c r="D841" t="n">
        <x:f>INDEX(Datos_47_semanas!$B$4:$B$50,C841)</x:f>
        <x:v>318</x:v>
      </x:c>
      <x:c r="E841" t="n">
        <x:f>MIN($B$4,D841)*$B$7+MAX($B$4-D841,0)*$B$9-$B$4*$B$8</x:f>
        <x:v>200</x:v>
      </x:c>
      <x:c r="F841" t="n">
        <x:f>MIN($B$5,D841)*$B$7+MAX($B$5-D841,0)*$B$9-$B$5*$B$8</x:f>
        <x:v>240</x:v>
      </x:c>
      <x:c r="G841" t="n">
        <x:f>MIN($B$6,D841)*$B$7+MAX($B$6-D841,0)*$B$9-$B$6*$B$8</x:f>
        <x:v>209.29999999999995</x:v>
      </x:c>
      <x:c r="H841" t="n">
        <x:f>MAX(D841-$B$5,0)</x:f>
        <x:v>18</x:v>
      </x:c>
      <x:c r="I841" t="n">
        <x:f>MAX($B$5-D841,0)</x:f>
        <x:v>0</x:v>
      </x:c>
    </x:row>
    <x:row r="842">
      <x:c r="A842" t="n">
        <x:f>830</x:f>
        <x:v>830</x:v>
      </x:c>
      <x:c r="B842" t="n">
        <x:f>RAND()</x:f>
        <x:v>0.5435366115906998</x:v>
      </x:c>
      <x:c r="C842" t="n">
        <x:f>MIN(47,INT(B842*47)+1)</x:f>
        <x:v>26</x:v>
      </x:c>
      <x:c r="D842" t="n">
        <x:f>INDEX(Datos_47_semanas!$B$4:$B$50,C842)</x:f>
        <x:v>183</x:v>
      </x:c>
      <x:c r="E842" t="n">
        <x:f>MIN($B$4,D842)*$B$7+MAX($B$4-D842,0)*$B$9-$B$4*$B$8</x:f>
        <x:v>109.55000000000001</x:v>
      </x:c>
      <x:c r="F842" t="n">
        <x:f>MIN($B$5,D842)*$B$7+MAX($B$5-D842,0)*$B$9-$B$5*$B$8</x:f>
        <x:v>82.05000000000001</x:v>
      </x:c>
      <x:c r="G842" t="n">
        <x:f>MIN($B$6,D842)*$B$7+MAX($B$6-D842,0)*$B$9-$B$6*$B$8</x:f>
        <x:v>27.049999999999955</x:v>
      </x:c>
      <x:c r="H842" t="n">
        <x:f>MAX(D842-$B$5,0)</x:f>
        <x:v>0</x:v>
      </x:c>
      <x:c r="I842" t="n">
        <x:f>MAX($B$5-D842,0)</x:f>
        <x:v>117</x:v>
      </x:c>
    </x:row>
    <x:row r="843">
      <x:c r="A843" t="n">
        <x:f>831</x:f>
        <x:v>831</x:v>
      </x:c>
      <x:c r="B843" t="n">
        <x:f>RAND()</x:f>
        <x:v>0.3695936379792977</x:v>
      </x:c>
      <x:c r="C843" t="n">
        <x:f>MIN(47,INT(B843*47)+1)</x:f>
        <x:v>18</x:v>
      </x:c>
      <x:c r="D843" t="n">
        <x:f>INDEX(Datos_47_semanas!$B$4:$B$50,C843)</x:f>
        <x:v>219</x:v>
      </x:c>
      <x:c r="E843" t="n">
        <x:f>MIN($B$4,D843)*$B$7+MAX($B$4-D843,0)*$B$9-$B$4*$B$8</x:f>
        <x:v>158.14999999999998</x:v>
      </x:c>
      <x:c r="F843" t="n">
        <x:f>MIN($B$5,D843)*$B$7+MAX($B$5-D843,0)*$B$9-$B$5*$B$8</x:f>
        <x:v>130.64999999999998</x:v>
      </x:c>
      <x:c r="G843" t="n">
        <x:f>MIN($B$6,D843)*$B$7+MAX($B$6-D843,0)*$B$9-$B$6*$B$8</x:f>
        <x:v>75.64999999999998</x:v>
      </x:c>
      <x:c r="H843" t="n">
        <x:f>MAX(D843-$B$5,0)</x:f>
        <x:v>0</x:v>
      </x:c>
      <x:c r="I843" t="n">
        <x:f>MAX($B$5-D843,0)</x:f>
        <x:v>81</x:v>
      </x:c>
    </x:row>
    <x:row r="844">
      <x:c r="A844" t="n">
        <x:f>832</x:f>
        <x:v>832</x:v>
      </x:c>
      <x:c r="B844" t="n">
        <x:f>RAND()</x:f>
        <x:v>0.2790540635355446</x:v>
      </x:c>
      <x:c r="C844" t="n">
        <x:f>MIN(47,INT(B844*47)+1)</x:f>
        <x:v>14</x:v>
      </x:c>
      <x:c r="D844" t="n">
        <x:f>INDEX(Datos_47_semanas!$B$4:$B$50,C844)</x:f>
        <x:v>187</x:v>
      </x:c>
      <x:c r="E844" t="n">
        <x:f>MIN($B$4,D844)*$B$7+MAX($B$4-D844,0)*$B$9-$B$4*$B$8</x:f>
        <x:v>114.94999999999999</x:v>
      </x:c>
      <x:c r="F844" t="n">
        <x:f>MIN($B$5,D844)*$B$7+MAX($B$5-D844,0)*$B$9-$B$5*$B$8</x:f>
        <x:v>87.44999999999999</x:v>
      </x:c>
      <x:c r="G844" t="n">
        <x:f>MIN($B$6,D844)*$B$7+MAX($B$6-D844,0)*$B$9-$B$6*$B$8</x:f>
        <x:v>32.44999999999999</x:v>
      </x:c>
      <x:c r="H844" t="n">
        <x:f>MAX(D844-$B$5,0)</x:f>
        <x:v>0</x:v>
      </x:c>
      <x:c r="I844" t="n">
        <x:f>MAX($B$5-D844,0)</x:f>
        <x:v>113</x:v>
      </x:c>
    </x:row>
    <x:row r="845">
      <x:c r="A845" t="n">
        <x:f>833</x:f>
        <x:v>833</x:v>
      </x:c>
      <x:c r="B845" t="n">
        <x:f>RAND()</x:f>
        <x:v>0.26313507467637676</x:v>
      </x:c>
      <x:c r="C845" t="n">
        <x:f>MIN(47,INT(B845*47)+1)</x:f>
        <x:v>13</x:v>
      </x:c>
      <x:c r="D845" t="n">
        <x:f>INDEX(Datos_47_semanas!$B$4:$B$50,C845)</x:f>
        <x:v>517</x:v>
      </x:c>
      <x:c r="E845" t="n">
        <x:f>MIN($B$4,D845)*$B$7+MAX($B$4-D845,0)*$B$9-$B$4*$B$8</x:f>
        <x:v>200</x:v>
      </x:c>
      <x:c r="F845" t="n">
        <x:f>MIN($B$5,D845)*$B$7+MAX($B$5-D845,0)*$B$9-$B$5*$B$8</x:f>
        <x:v>240</x:v>
      </x:c>
      <x:c r="G845" t="n">
        <x:f>MIN($B$6,D845)*$B$7+MAX($B$6-D845,0)*$B$9-$B$6*$B$8</x:f>
        <x:v>320</x:v>
      </x:c>
      <x:c r="H845" t="n">
        <x:f>MAX(D845-$B$5,0)</x:f>
        <x:v>217</x:v>
      </x:c>
      <x:c r="I845" t="n">
        <x:f>MAX($B$5-D845,0)</x:f>
        <x:v>0</x:v>
      </x:c>
    </x:row>
    <x:row r="846">
      <x:c r="A846" t="n">
        <x:f>834</x:f>
        <x:v>834</x:v>
      </x:c>
      <x:c r="B846" t="n">
        <x:f>RAND()</x:f>
        <x:v>0.011755598009705381</x:v>
      </x:c>
      <x:c r="C846" t="n">
        <x:f>MIN(47,INT(B846*47)+1)</x:f>
        <x:v>1</x:v>
      </x:c>
      <x:c r="D846" t="n">
        <x:f>INDEX(Datos_47_semanas!$B$4:$B$50,C846)</x:f>
        <x:v>418</x:v>
      </x:c>
      <x:c r="E846" t="n">
        <x:f>MIN($B$4,D846)*$B$7+MAX($B$4-D846,0)*$B$9-$B$4*$B$8</x:f>
        <x:v>200</x:v>
      </x:c>
      <x:c r="F846" t="n">
        <x:f>MIN($B$5,D846)*$B$7+MAX($B$5-D846,0)*$B$9-$B$5*$B$8</x:f>
        <x:v>240</x:v>
      </x:c>
      <x:c r="G846" t="n">
        <x:f>MIN($B$6,D846)*$B$7+MAX($B$6-D846,0)*$B$9-$B$6*$B$8</x:f>
        <x:v>320</x:v>
      </x:c>
      <x:c r="H846" t="n">
        <x:f>MAX(D846-$B$5,0)</x:f>
        <x:v>118</x:v>
      </x:c>
      <x:c r="I846" t="n">
        <x:f>MAX($B$5-D846,0)</x:f>
        <x:v>0</x:v>
      </x:c>
    </x:row>
    <x:row r="847">
      <x:c r="A847" t="n">
        <x:f>835</x:f>
        <x:v>835</x:v>
      </x:c>
      <x:c r="B847" t="n">
        <x:f>RAND()</x:f>
        <x:v>0.8766072318591284</x:v>
      </x:c>
      <x:c r="C847" t="n">
        <x:f>MIN(47,INT(B847*47)+1)</x:f>
        <x:v>42</x:v>
      </x:c>
      <x:c r="D847" t="n">
        <x:f>INDEX(Datos_47_semanas!$B$4:$B$50,C847)</x:f>
        <x:v>146</x:v>
      </x:c>
      <x:c r="E847" t="n">
        <x:f>MIN($B$4,D847)*$B$7+MAX($B$4-D847,0)*$B$9-$B$4*$B$8</x:f>
        <x:v>59.599999999999966</x:v>
      </x:c>
      <x:c r="F847" t="n">
        <x:f>MIN($B$5,D847)*$B$7+MAX($B$5-D847,0)*$B$9-$B$5*$B$8</x:f>
        <x:v>32.099999999999966</x:v>
      </x:c>
      <x:c r="G847" t="n">
        <x:f>MIN($B$6,D847)*$B$7+MAX($B$6-D847,0)*$B$9-$B$6*$B$8</x:f>
        <x:v>-22.900000000000034</x:v>
      </x:c>
      <x:c r="H847" t="n">
        <x:f>MAX(D847-$B$5,0)</x:f>
        <x:v>0</x:v>
      </x:c>
      <x:c r="I847" t="n">
        <x:f>MAX($B$5-D847,0)</x:f>
        <x:v>154</x:v>
      </x:c>
    </x:row>
    <x:row r="848">
      <x:c r="A848" t="n">
        <x:f>836</x:f>
        <x:v>836</x:v>
      </x:c>
      <x:c r="B848" t="n">
        <x:f>RAND()</x:f>
        <x:v>0.09957714540867324</x:v>
      </x:c>
      <x:c r="C848" t="n">
        <x:f>MIN(47,INT(B848*47)+1)</x:f>
        <x:v>5</x:v>
      </x:c>
      <x:c r="D848" t="n">
        <x:f>INDEX(Datos_47_semanas!$B$4:$B$50,C848)</x:f>
        <x:v>347</x:v>
      </x:c>
      <x:c r="E848" t="n">
        <x:f>MIN($B$4,D848)*$B$7+MAX($B$4-D848,0)*$B$9-$B$4*$B$8</x:f>
        <x:v>200</x:v>
      </x:c>
      <x:c r="F848" t="n">
        <x:f>MIN($B$5,D848)*$B$7+MAX($B$5-D848,0)*$B$9-$B$5*$B$8</x:f>
        <x:v>240</x:v>
      </x:c>
      <x:c r="G848" t="n">
        <x:f>MIN($B$6,D848)*$B$7+MAX($B$6-D848,0)*$B$9-$B$6*$B$8</x:f>
        <x:v>248.44999999999993</x:v>
      </x:c>
      <x:c r="H848" t="n">
        <x:f>MAX(D848-$B$5,0)</x:f>
        <x:v>47</x:v>
      </x:c>
      <x:c r="I848" t="n">
        <x:f>MAX($B$5-D848,0)</x:f>
        <x:v>0</x:v>
      </x:c>
    </x:row>
    <x:row r="849">
      <x:c r="A849" t="n">
        <x:f>837</x:f>
        <x:v>837</x:v>
      </x:c>
      <x:c r="B849" t="n">
        <x:f>RAND()</x:f>
        <x:v>0.7871820521801183</x:v>
      </x:c>
      <x:c r="C849" t="n">
        <x:f>MIN(47,INT(B849*47)+1)</x:f>
        <x:v>37</x:v>
      </x:c>
      <x:c r="D849" t="n">
        <x:f>INDEX(Datos_47_semanas!$B$4:$B$50,C849)</x:f>
        <x:v>299</x:v>
      </x:c>
      <x:c r="E849" t="n">
        <x:f>MIN($B$4,D849)*$B$7+MAX($B$4-D849,0)*$B$9-$B$4*$B$8</x:f>
        <x:v>200</x:v>
      </x:c>
      <x:c r="F849" t="n">
        <x:f>MIN($B$5,D849)*$B$7+MAX($B$5-D849,0)*$B$9-$B$5*$B$8</x:f>
        <x:v>238.64999999999998</x:v>
      </x:c>
      <x:c r="G849" t="n">
        <x:f>MIN($B$6,D849)*$B$7+MAX($B$6-D849,0)*$B$9-$B$6*$B$8</x:f>
        <x:v>183.64999999999998</x:v>
      </x:c>
      <x:c r="H849" t="n">
        <x:f>MAX(D849-$B$5,0)</x:f>
        <x:v>0</x:v>
      </x:c>
      <x:c r="I849" t="n">
        <x:f>MAX($B$5-D849,0)</x:f>
        <x:v>1</x:v>
      </x:c>
    </x:row>
    <x:row r="850">
      <x:c r="A850" t="n">
        <x:f>838</x:f>
        <x:v>838</x:v>
      </x:c>
      <x:c r="B850" t="n">
        <x:f>RAND()</x:f>
        <x:v>0.6691307821263086</x:v>
      </x:c>
      <x:c r="C850" t="n">
        <x:f>MIN(47,INT(B850*47)+1)</x:f>
        <x:v>32</x:v>
      </x:c>
      <x:c r="D850" t="n">
        <x:f>INDEX(Datos_47_semanas!$B$4:$B$50,C850)</x:f>
        <x:v>575</x:v>
      </x:c>
      <x:c r="E850" t="n">
        <x:f>MIN($B$4,D850)*$B$7+MAX($B$4-D850,0)*$B$9-$B$4*$B$8</x:f>
        <x:v>200</x:v>
      </x:c>
      <x:c r="F850" t="n">
        <x:f>MIN($B$5,D850)*$B$7+MAX($B$5-D850,0)*$B$9-$B$5*$B$8</x:f>
        <x:v>240</x:v>
      </x:c>
      <x:c r="G850" t="n">
        <x:f>MIN($B$6,D850)*$B$7+MAX($B$6-D850,0)*$B$9-$B$6*$B$8</x:f>
        <x:v>320</x:v>
      </x:c>
      <x:c r="H850" t="n">
        <x:f>MAX(D850-$B$5,0)</x:f>
        <x:v>275</x:v>
      </x:c>
      <x:c r="I850" t="n">
        <x:f>MAX($B$5-D850,0)</x:f>
        <x:v>0</x:v>
      </x:c>
    </x:row>
    <x:row r="851">
      <x:c r="A851" t="n">
        <x:f>839</x:f>
        <x:v>839</x:v>
      </x:c>
      <x:c r="B851" t="n">
        <x:f>RAND()</x:f>
        <x:v>0.04487706269888203</x:v>
      </x:c>
      <x:c r="C851" t="n">
        <x:f>MIN(47,INT(B851*47)+1)</x:f>
        <x:v>3</x:v>
      </x:c>
      <x:c r="D851" t="n">
        <x:f>INDEX(Datos_47_semanas!$B$4:$B$50,C851)</x:f>
        <x:v>128</x:v>
      </x:c>
      <x:c r="E851" t="n">
        <x:f>MIN($B$4,D851)*$B$7+MAX($B$4-D851,0)*$B$9-$B$4*$B$8</x:f>
        <x:v>35.29999999999998</x:v>
      </x:c>
      <x:c r="F851" t="n">
        <x:f>MIN($B$5,D851)*$B$7+MAX($B$5-D851,0)*$B$9-$B$5*$B$8</x:f>
        <x:v>7.800000000000011</x:v>
      </x:c>
      <x:c r="G851" t="n">
        <x:f>MIN($B$6,D851)*$B$7+MAX($B$6-D851,0)*$B$9-$B$6*$B$8</x:f>
        <x:v>-47.200000000000045</x:v>
      </x:c>
      <x:c r="H851" t="n">
        <x:f>MAX(D851-$B$5,0)</x:f>
        <x:v>0</x:v>
      </x:c>
      <x:c r="I851" t="n">
        <x:f>MAX($B$5-D851,0)</x:f>
        <x:v>172</x:v>
      </x:c>
    </x:row>
    <x:row r="852">
      <x:c r="A852" t="n">
        <x:f>840</x:f>
        <x:v>840</x:v>
      </x:c>
      <x:c r="B852" t="n">
        <x:f>RAND()</x:f>
        <x:v>0.6280213955331699</x:v>
      </x:c>
      <x:c r="C852" t="n">
        <x:f>MIN(47,INT(B852*47)+1)</x:f>
        <x:v>30</x:v>
      </x:c>
      <x:c r="D852" t="n">
        <x:f>INDEX(Datos_47_semanas!$B$4:$B$50,C852)</x:f>
        <x:v>345</x:v>
      </x:c>
      <x:c r="E852" t="n">
        <x:f>MIN($B$4,D852)*$B$7+MAX($B$4-D852,0)*$B$9-$B$4*$B$8</x:f>
        <x:v>200</x:v>
      </x:c>
      <x:c r="F852" t="n">
        <x:f>MIN($B$5,D852)*$B$7+MAX($B$5-D852,0)*$B$9-$B$5*$B$8</x:f>
        <x:v>240</x:v>
      </x:c>
      <x:c r="G852" t="n">
        <x:f>MIN($B$6,D852)*$B$7+MAX($B$6-D852,0)*$B$9-$B$6*$B$8</x:f>
        <x:v>245.75</x:v>
      </x:c>
      <x:c r="H852" t="n">
        <x:f>MAX(D852-$B$5,0)</x:f>
        <x:v>45</x:v>
      </x:c>
      <x:c r="I852" t="n">
        <x:f>MAX($B$5-D852,0)</x:f>
        <x:v>0</x:v>
      </x:c>
    </x:row>
    <x:row r="853">
      <x:c r="A853" t="n">
        <x:f>841</x:f>
        <x:v>841</x:v>
      </x:c>
      <x:c r="B853" t="n">
        <x:f>RAND()</x:f>
        <x:v>0.588380793337826</x:v>
      </x:c>
      <x:c r="C853" t="n">
        <x:f>MIN(47,INT(B853*47)+1)</x:f>
        <x:v>28</x:v>
      </x:c>
      <x:c r="D853" t="n">
        <x:f>INDEX(Datos_47_semanas!$B$4:$B$50,C853)</x:f>
        <x:v>201</x:v>
      </x:c>
      <x:c r="E853" t="n">
        <x:f>MIN($B$4,D853)*$B$7+MAX($B$4-D853,0)*$B$9-$B$4*$B$8</x:f>
        <x:v>133.84999999999997</x:v>
      </x:c>
      <x:c r="F853" t="n">
        <x:f>MIN($B$5,D853)*$B$7+MAX($B$5-D853,0)*$B$9-$B$5*$B$8</x:f>
        <x:v>106.34999999999997</x:v>
      </x:c>
      <x:c r="G853" t="n">
        <x:f>MIN($B$6,D853)*$B$7+MAX($B$6-D853,0)*$B$9-$B$6*$B$8</x:f>
        <x:v>51.349999999999966</x:v>
      </x:c>
      <x:c r="H853" t="n">
        <x:f>MAX(D853-$B$5,0)</x:f>
        <x:v>0</x:v>
      </x:c>
      <x:c r="I853" t="n">
        <x:f>MAX($B$5-D853,0)</x:f>
        <x:v>99</x:v>
      </x:c>
    </x:row>
    <x:row r="854">
      <x:c r="A854" t="n">
        <x:f>842</x:f>
        <x:v>842</x:v>
      </x:c>
      <x:c r="B854" t="n">
        <x:f>RAND()</x:f>
        <x:v>0.4130731945111388</x:v>
      </x:c>
      <x:c r="C854" t="n">
        <x:f>MIN(47,INT(B854*47)+1)</x:f>
        <x:v>20</x:v>
      </x:c>
      <x:c r="D854" t="n">
        <x:f>INDEX(Datos_47_semanas!$B$4:$B$50,C854)</x:f>
        <x:v>335</x:v>
      </x:c>
      <x:c r="E854" t="n">
        <x:f>MIN($B$4,D854)*$B$7+MAX($B$4-D854,0)*$B$9-$B$4*$B$8</x:f>
        <x:v>200</x:v>
      </x:c>
      <x:c r="F854" t="n">
        <x:f>MIN($B$5,D854)*$B$7+MAX($B$5-D854,0)*$B$9-$B$5*$B$8</x:f>
        <x:v>240</x:v>
      </x:c>
      <x:c r="G854" t="n">
        <x:f>MIN($B$6,D854)*$B$7+MAX($B$6-D854,0)*$B$9-$B$6*$B$8</x:f>
        <x:v>232.25</x:v>
      </x:c>
      <x:c r="H854" t="n">
        <x:f>MAX(D854-$B$5,0)</x:f>
        <x:v>35</x:v>
      </x:c>
      <x:c r="I854" t="n">
        <x:f>MAX($B$5-D854,0)</x:f>
        <x:v>0</x:v>
      </x:c>
    </x:row>
    <x:row r="855">
      <x:c r="A855" t="n">
        <x:f>843</x:f>
        <x:v>843</x:v>
      </x:c>
      <x:c r="B855" t="n">
        <x:f>RAND()</x:f>
        <x:v>0.0026731177404879514</x:v>
      </x:c>
      <x:c r="C855" t="n">
        <x:f>MIN(47,INT(B855*47)+1)</x:f>
        <x:v>1</x:v>
      </x:c>
      <x:c r="D855" t="n">
        <x:f>INDEX(Datos_47_semanas!$B$4:$B$50,C855)</x:f>
        <x:v>418</x:v>
      </x:c>
      <x:c r="E855" t="n">
        <x:f>MIN($B$4,D855)*$B$7+MAX($B$4-D855,0)*$B$9-$B$4*$B$8</x:f>
        <x:v>200</x:v>
      </x:c>
      <x:c r="F855" t="n">
        <x:f>MIN($B$5,D855)*$B$7+MAX($B$5-D855,0)*$B$9-$B$5*$B$8</x:f>
        <x:v>240</x:v>
      </x:c>
      <x:c r="G855" t="n">
        <x:f>MIN($B$6,D855)*$B$7+MAX($B$6-D855,0)*$B$9-$B$6*$B$8</x:f>
        <x:v>320</x:v>
      </x:c>
      <x:c r="H855" t="n">
        <x:f>MAX(D855-$B$5,0)</x:f>
        <x:v>118</x:v>
      </x:c>
      <x:c r="I855" t="n">
        <x:f>MAX($B$5-D855,0)</x:f>
        <x:v>0</x:v>
      </x:c>
    </x:row>
    <x:row r="856">
      <x:c r="A856" t="n">
        <x:f>844</x:f>
        <x:v>844</x:v>
      </x:c>
      <x:c r="B856" t="n">
        <x:f>RAND()</x:f>
        <x:v>0.6658003571361154</x:v>
      </x:c>
      <x:c r="C856" t="n">
        <x:f>MIN(47,INT(B856*47)+1)</x:f>
        <x:v>32</x:v>
      </x:c>
      <x:c r="D856" t="n">
        <x:f>INDEX(Datos_47_semanas!$B$4:$B$50,C856)</x:f>
        <x:v>575</x:v>
      </x:c>
      <x:c r="E856" t="n">
        <x:f>MIN($B$4,D856)*$B$7+MAX($B$4-D856,0)*$B$9-$B$4*$B$8</x:f>
        <x:v>200</x:v>
      </x:c>
      <x:c r="F856" t="n">
        <x:f>MIN($B$5,D856)*$B$7+MAX($B$5-D856,0)*$B$9-$B$5*$B$8</x:f>
        <x:v>240</x:v>
      </x:c>
      <x:c r="G856" t="n">
        <x:f>MIN($B$6,D856)*$B$7+MAX($B$6-D856,0)*$B$9-$B$6*$B$8</x:f>
        <x:v>320</x:v>
      </x:c>
      <x:c r="H856" t="n">
        <x:f>MAX(D856-$B$5,0)</x:f>
        <x:v>275</x:v>
      </x:c>
      <x:c r="I856" t="n">
        <x:f>MAX($B$5-D856,0)</x:f>
        <x:v>0</x:v>
      </x:c>
    </x:row>
    <x:row r="857">
      <x:c r="A857" t="n">
        <x:f>845</x:f>
        <x:v>845</x:v>
      </x:c>
      <x:c r="B857" t="n">
        <x:f>RAND()</x:f>
        <x:v>0.08932015012085459</x:v>
      </x:c>
      <x:c r="C857" t="n">
        <x:f>MIN(47,INT(B857*47)+1)</x:f>
        <x:v>5</x:v>
      </x:c>
      <x:c r="D857" t="n">
        <x:f>INDEX(Datos_47_semanas!$B$4:$B$50,C857)</x:f>
        <x:v>347</x:v>
      </x:c>
      <x:c r="E857" t="n">
        <x:f>MIN($B$4,D857)*$B$7+MAX($B$4-D857,0)*$B$9-$B$4*$B$8</x:f>
        <x:v>200</x:v>
      </x:c>
      <x:c r="F857" t="n">
        <x:f>MIN($B$5,D857)*$B$7+MAX($B$5-D857,0)*$B$9-$B$5*$B$8</x:f>
        <x:v>240</x:v>
      </x:c>
      <x:c r="G857" t="n">
        <x:f>MIN($B$6,D857)*$B$7+MAX($B$6-D857,0)*$B$9-$B$6*$B$8</x:f>
        <x:v>248.44999999999993</x:v>
      </x:c>
      <x:c r="H857" t="n">
        <x:f>MAX(D857-$B$5,0)</x:f>
        <x:v>47</x:v>
      </x:c>
      <x:c r="I857" t="n">
        <x:f>MAX($B$5-D857,0)</x:f>
        <x:v>0</x:v>
      </x:c>
    </x:row>
    <x:row r="858">
      <x:c r="A858" t="n">
        <x:f>846</x:f>
        <x:v>846</x:v>
      </x:c>
      <x:c r="B858" t="n">
        <x:f>RAND()</x:f>
        <x:v>0.6975875834387864</x:v>
      </x:c>
      <x:c r="C858" t="n">
        <x:f>MIN(47,INT(B858*47)+1)</x:f>
        <x:v>33</x:v>
      </x:c>
      <x:c r="D858" t="n">
        <x:f>INDEX(Datos_47_semanas!$B$4:$B$50,C858)</x:f>
        <x:v>373</x:v>
      </x:c>
      <x:c r="E858" t="n">
        <x:f>MIN($B$4,D858)*$B$7+MAX($B$4-D858,0)*$B$9-$B$4*$B$8</x:f>
        <x:v>200</x:v>
      </x:c>
      <x:c r="F858" t="n">
        <x:f>MIN($B$5,D858)*$B$7+MAX($B$5-D858,0)*$B$9-$B$5*$B$8</x:f>
        <x:v>240</x:v>
      </x:c>
      <x:c r="G858" t="n">
        <x:f>MIN($B$6,D858)*$B$7+MAX($B$6-D858,0)*$B$9-$B$6*$B$8</x:f>
        <x:v>283.54999999999995</x:v>
      </x:c>
      <x:c r="H858" t="n">
        <x:f>MAX(D858-$B$5,0)</x:f>
        <x:v>73</x:v>
      </x:c>
      <x:c r="I858" t="n">
        <x:f>MAX($B$5-D858,0)</x:f>
        <x:v>0</x:v>
      </x:c>
    </x:row>
    <x:row r="859">
      <x:c r="A859" t="n">
        <x:f>847</x:f>
        <x:v>847</x:v>
      </x:c>
      <x:c r="B859" t="n">
        <x:f>RAND()</x:f>
        <x:v>0.33207020012421984</x:v>
      </x:c>
      <x:c r="C859" t="n">
        <x:f>MIN(47,INT(B859*47)+1)</x:f>
        <x:v>16</x:v>
      </x:c>
      <x:c r="D859" t="n">
        <x:f>INDEX(Datos_47_semanas!$B$4:$B$50,C859)</x:f>
        <x:v>318</x:v>
      </x:c>
      <x:c r="E859" t="n">
        <x:f>MIN($B$4,D859)*$B$7+MAX($B$4-D859,0)*$B$9-$B$4*$B$8</x:f>
        <x:v>200</x:v>
      </x:c>
      <x:c r="F859" t="n">
        <x:f>MIN($B$5,D859)*$B$7+MAX($B$5-D859,0)*$B$9-$B$5*$B$8</x:f>
        <x:v>240</x:v>
      </x:c>
      <x:c r="G859" t="n">
        <x:f>MIN($B$6,D859)*$B$7+MAX($B$6-D859,0)*$B$9-$B$6*$B$8</x:f>
        <x:v>209.29999999999995</x:v>
      </x:c>
      <x:c r="H859" t="n">
        <x:f>MAX(D859-$B$5,0)</x:f>
        <x:v>18</x:v>
      </x:c>
      <x:c r="I859" t="n">
        <x:f>MAX($B$5-D859,0)</x:f>
        <x:v>0</x:v>
      </x:c>
    </x:row>
    <x:row r="860">
      <x:c r="A860" t="n">
        <x:f>848</x:f>
        <x:v>848</x:v>
      </x:c>
      <x:c r="B860" t="n">
        <x:f>RAND()</x:f>
        <x:v>0.04753060356281269</x:v>
      </x:c>
      <x:c r="C860" t="n">
        <x:f>MIN(47,INT(B860*47)+1)</x:f>
        <x:v>3</x:v>
      </x:c>
      <x:c r="D860" t="n">
        <x:f>INDEX(Datos_47_semanas!$B$4:$B$50,C860)</x:f>
        <x:v>128</x:v>
      </x:c>
      <x:c r="E860" t="n">
        <x:f>MIN($B$4,D860)*$B$7+MAX($B$4-D860,0)*$B$9-$B$4*$B$8</x:f>
        <x:v>35.29999999999998</x:v>
      </x:c>
      <x:c r="F860" t="n">
        <x:f>MIN($B$5,D860)*$B$7+MAX($B$5-D860,0)*$B$9-$B$5*$B$8</x:f>
        <x:v>7.800000000000011</x:v>
      </x:c>
      <x:c r="G860" t="n">
        <x:f>MIN($B$6,D860)*$B$7+MAX($B$6-D860,0)*$B$9-$B$6*$B$8</x:f>
        <x:v>-47.200000000000045</x:v>
      </x:c>
      <x:c r="H860" t="n">
        <x:f>MAX(D860-$B$5,0)</x:f>
        <x:v>0</x:v>
      </x:c>
      <x:c r="I860" t="n">
        <x:f>MAX($B$5-D860,0)</x:f>
        <x:v>172</x:v>
      </x:c>
    </x:row>
    <x:row r="861">
      <x:c r="A861" t="n">
        <x:f>849</x:f>
        <x:v>849</x:v>
      </x:c>
      <x:c r="B861" t="n">
        <x:f>RAND()</x:f>
        <x:v>0.08853306905724811</x:v>
      </x:c>
      <x:c r="C861" t="n">
        <x:f>MIN(47,INT(B861*47)+1)</x:f>
        <x:v>5</x:v>
      </x:c>
      <x:c r="D861" t="n">
        <x:f>INDEX(Datos_47_semanas!$B$4:$B$50,C861)</x:f>
        <x:v>347</x:v>
      </x:c>
      <x:c r="E861" t="n">
        <x:f>MIN($B$4,D861)*$B$7+MAX($B$4-D861,0)*$B$9-$B$4*$B$8</x:f>
        <x:v>200</x:v>
      </x:c>
      <x:c r="F861" t="n">
        <x:f>MIN($B$5,D861)*$B$7+MAX($B$5-D861,0)*$B$9-$B$5*$B$8</x:f>
        <x:v>240</x:v>
      </x:c>
      <x:c r="G861" t="n">
        <x:f>MIN($B$6,D861)*$B$7+MAX($B$6-D861,0)*$B$9-$B$6*$B$8</x:f>
        <x:v>248.44999999999993</x:v>
      </x:c>
      <x:c r="H861" t="n">
        <x:f>MAX(D861-$B$5,0)</x:f>
        <x:v>47</x:v>
      </x:c>
      <x:c r="I861" t="n">
        <x:f>MAX($B$5-D861,0)</x:f>
        <x:v>0</x:v>
      </x:c>
    </x:row>
    <x:row r="862">
      <x:c r="A862" t="n">
        <x:f>850</x:f>
        <x:v>850</x:v>
      </x:c>
      <x:c r="B862" t="n">
        <x:f>RAND()</x:f>
        <x:v>0.7664731634806645</x:v>
      </x:c>
      <x:c r="C862" t="n">
        <x:f>MIN(47,INT(B862*47)+1)</x:f>
        <x:v>37</x:v>
      </x:c>
      <x:c r="D862" t="n">
        <x:f>INDEX(Datos_47_semanas!$B$4:$B$50,C862)</x:f>
        <x:v>299</x:v>
      </x:c>
      <x:c r="E862" t="n">
        <x:f>MIN($B$4,D862)*$B$7+MAX($B$4-D862,0)*$B$9-$B$4*$B$8</x:f>
        <x:v>200</x:v>
      </x:c>
      <x:c r="F862" t="n">
        <x:f>MIN($B$5,D862)*$B$7+MAX($B$5-D862,0)*$B$9-$B$5*$B$8</x:f>
        <x:v>238.64999999999998</x:v>
      </x:c>
      <x:c r="G862" t="n">
        <x:f>MIN($B$6,D862)*$B$7+MAX($B$6-D862,0)*$B$9-$B$6*$B$8</x:f>
        <x:v>183.64999999999998</x:v>
      </x:c>
      <x:c r="H862" t="n">
        <x:f>MAX(D862-$B$5,0)</x:f>
        <x:v>0</x:v>
      </x:c>
      <x:c r="I862" t="n">
        <x:f>MAX($B$5-D862,0)</x:f>
        <x:v>1</x:v>
      </x:c>
    </x:row>
    <x:row r="863">
      <x:c r="A863" t="n">
        <x:f>851</x:f>
        <x:v>851</x:v>
      </x:c>
      <x:c r="B863" t="n">
        <x:f>RAND()</x:f>
        <x:v>0.9326682961344482</x:v>
      </x:c>
      <x:c r="C863" t="n">
        <x:f>MIN(47,INT(B863*47)+1)</x:f>
        <x:v>44</x:v>
      </x:c>
      <x:c r="D863" t="n">
        <x:f>INDEX(Datos_47_semanas!$B$4:$B$50,C863)</x:f>
        <x:v>223</x:v>
      </x:c>
      <x:c r="E863" t="n">
        <x:f>MIN($B$4,D863)*$B$7+MAX($B$4-D863,0)*$B$9-$B$4*$B$8</x:f>
        <x:v>163.55</x:v>
      </x:c>
      <x:c r="F863" t="n">
        <x:f>MIN($B$5,D863)*$B$7+MAX($B$5-D863,0)*$B$9-$B$5*$B$8</x:f>
        <x:v>136.05</x:v>
      </x:c>
      <x:c r="G863" t="n">
        <x:f>MIN($B$6,D863)*$B$7+MAX($B$6-D863,0)*$B$9-$B$6*$B$8</x:f>
        <x:v>81.05000000000001</x:v>
      </x:c>
      <x:c r="H863" t="n">
        <x:f>MAX(D863-$B$5,0)</x:f>
        <x:v>0</x:v>
      </x:c>
      <x:c r="I863" t="n">
        <x:f>MAX($B$5-D863,0)</x:f>
        <x:v>77</x:v>
      </x:c>
    </x:row>
    <x:row r="864">
      <x:c r="A864" t="n">
        <x:f>852</x:f>
        <x:v>852</x:v>
      </x:c>
      <x:c r="B864" t="n">
        <x:f>RAND()</x:f>
        <x:v>0.016117603936650626</x:v>
      </x:c>
      <x:c r="C864" t="n">
        <x:f>MIN(47,INT(B864*47)+1)</x:f>
        <x:v>1</x:v>
      </x:c>
      <x:c r="D864" t="n">
        <x:f>INDEX(Datos_47_semanas!$B$4:$B$50,C864)</x:f>
        <x:v>418</x:v>
      </x:c>
      <x:c r="E864" t="n">
        <x:f>MIN($B$4,D864)*$B$7+MAX($B$4-D864,0)*$B$9-$B$4*$B$8</x:f>
        <x:v>200</x:v>
      </x:c>
      <x:c r="F864" t="n">
        <x:f>MIN($B$5,D864)*$B$7+MAX($B$5-D864,0)*$B$9-$B$5*$B$8</x:f>
        <x:v>240</x:v>
      </x:c>
      <x:c r="G864" t="n">
        <x:f>MIN($B$6,D864)*$B$7+MAX($B$6-D864,0)*$B$9-$B$6*$B$8</x:f>
        <x:v>320</x:v>
      </x:c>
      <x:c r="H864" t="n">
        <x:f>MAX(D864-$B$5,0)</x:f>
        <x:v>118</x:v>
      </x:c>
      <x:c r="I864" t="n">
        <x:f>MAX($B$5-D864,0)</x:f>
        <x:v>0</x:v>
      </x:c>
    </x:row>
    <x:row r="865">
      <x:c r="A865" t="n">
        <x:f>853</x:f>
        <x:v>853</x:v>
      </x:c>
      <x:c r="B865" t="n">
        <x:f>RAND()</x:f>
        <x:v>0.5723107902501047</x:v>
      </x:c>
      <x:c r="C865" t="n">
        <x:f>MIN(47,INT(B865*47)+1)</x:f>
        <x:v>27</x:v>
      </x:c>
      <x:c r="D865" t="n">
        <x:f>INDEX(Datos_47_semanas!$B$4:$B$50,C865)</x:f>
        <x:v>293</x:v>
      </x:c>
      <x:c r="E865" t="n">
        <x:f>MIN($B$4,D865)*$B$7+MAX($B$4-D865,0)*$B$9-$B$4*$B$8</x:f>
        <x:v>200</x:v>
      </x:c>
      <x:c r="F865" t="n">
        <x:f>MIN($B$5,D865)*$B$7+MAX($B$5-D865,0)*$B$9-$B$5*$B$8</x:f>
        <x:v>230.55</x:v>
      </x:c>
      <x:c r="G865" t="n">
        <x:f>MIN($B$6,D865)*$B$7+MAX($B$6-D865,0)*$B$9-$B$6*$B$8</x:f>
        <x:v>175.54999999999995</x:v>
      </x:c>
      <x:c r="H865" t="n">
        <x:f>MAX(D865-$B$5,0)</x:f>
        <x:v>0</x:v>
      </x:c>
      <x:c r="I865" t="n">
        <x:f>MAX($B$5-D865,0)</x:f>
        <x:v>7</x:v>
      </x:c>
    </x:row>
    <x:row r="866">
      <x:c r="A866" t="n">
        <x:f>854</x:f>
        <x:v>854</x:v>
      </x:c>
      <x:c r="B866" t="n">
        <x:f>RAND()</x:f>
        <x:v>0.27769785922828194</x:v>
      </x:c>
      <x:c r="C866" t="n">
        <x:f>MIN(47,INT(B866*47)+1)</x:f>
        <x:v>14</x:v>
      </x:c>
      <x:c r="D866" t="n">
        <x:f>INDEX(Datos_47_semanas!$B$4:$B$50,C866)</x:f>
        <x:v>187</x:v>
      </x:c>
      <x:c r="E866" t="n">
        <x:f>MIN($B$4,D866)*$B$7+MAX($B$4-D866,0)*$B$9-$B$4*$B$8</x:f>
        <x:v>114.94999999999999</x:v>
      </x:c>
      <x:c r="F866" t="n">
        <x:f>MIN($B$5,D866)*$B$7+MAX($B$5-D866,0)*$B$9-$B$5*$B$8</x:f>
        <x:v>87.44999999999999</x:v>
      </x:c>
      <x:c r="G866" t="n">
        <x:f>MIN($B$6,D866)*$B$7+MAX($B$6-D866,0)*$B$9-$B$6*$B$8</x:f>
        <x:v>32.44999999999999</x:v>
      </x:c>
      <x:c r="H866" t="n">
        <x:f>MAX(D866-$B$5,0)</x:f>
        <x:v>0</x:v>
      </x:c>
      <x:c r="I866" t="n">
        <x:f>MAX($B$5-D866,0)</x:f>
        <x:v>113</x:v>
      </x:c>
    </x:row>
    <x:row r="867">
      <x:c r="A867" t="n">
        <x:f>855</x:f>
        <x:v>855</x:v>
      </x:c>
      <x:c r="B867" t="n">
        <x:f>RAND()</x:f>
        <x:v>0.34283615973174997</x:v>
      </x:c>
      <x:c r="C867" t="n">
        <x:f>MIN(47,INT(B867*47)+1)</x:f>
        <x:v>17</x:v>
      </x:c>
      <x:c r="D867" t="n">
        <x:f>INDEX(Datos_47_semanas!$B$4:$B$50,C867)</x:f>
        <x:v>154</x:v>
      </x:c>
      <x:c r="E867" t="n">
        <x:f>MIN($B$4,D867)*$B$7+MAX($B$4-D867,0)*$B$9-$B$4*$B$8</x:f>
        <x:v>70.39999999999998</x:v>
      </x:c>
      <x:c r="F867" t="n">
        <x:f>MIN($B$5,D867)*$B$7+MAX($B$5-D867,0)*$B$9-$B$5*$B$8</x:f>
        <x:v>42.89999999999998</x:v>
      </x:c>
      <x:c r="G867" t="n">
        <x:f>MIN($B$6,D867)*$B$7+MAX($B$6-D867,0)*$B$9-$B$6*$B$8</x:f>
        <x:v>-12.100000000000023</x:v>
      </x:c>
      <x:c r="H867" t="n">
        <x:f>MAX(D867-$B$5,0)</x:f>
        <x:v>0</x:v>
      </x:c>
      <x:c r="I867" t="n">
        <x:f>MAX($B$5-D867,0)</x:f>
        <x:v>146</x:v>
      </x:c>
    </x:row>
    <x:row r="868">
      <x:c r="A868" t="n">
        <x:f>856</x:f>
        <x:v>856</x:v>
      </x:c>
      <x:c r="B868" t="n">
        <x:f>RAND()</x:f>
        <x:v>0.5902200369807116</x:v>
      </x:c>
      <x:c r="C868" t="n">
        <x:f>MIN(47,INT(B868*47)+1)</x:f>
        <x:v>28</x:v>
      </x:c>
      <x:c r="D868" t="n">
        <x:f>INDEX(Datos_47_semanas!$B$4:$B$50,C868)</x:f>
        <x:v>201</x:v>
      </x:c>
      <x:c r="E868" t="n">
        <x:f>MIN($B$4,D868)*$B$7+MAX($B$4-D868,0)*$B$9-$B$4*$B$8</x:f>
        <x:v>133.84999999999997</x:v>
      </x:c>
      <x:c r="F868" t="n">
        <x:f>MIN($B$5,D868)*$B$7+MAX($B$5-D868,0)*$B$9-$B$5*$B$8</x:f>
        <x:v>106.34999999999997</x:v>
      </x:c>
      <x:c r="G868" t="n">
        <x:f>MIN($B$6,D868)*$B$7+MAX($B$6-D868,0)*$B$9-$B$6*$B$8</x:f>
        <x:v>51.349999999999966</x:v>
      </x:c>
      <x:c r="H868" t="n">
        <x:f>MAX(D868-$B$5,0)</x:f>
        <x:v>0</x:v>
      </x:c>
      <x:c r="I868" t="n">
        <x:f>MAX($B$5-D868,0)</x:f>
        <x:v>99</x:v>
      </x:c>
    </x:row>
    <x:row r="869">
      <x:c r="A869" t="n">
        <x:f>857</x:f>
        <x:v>857</x:v>
      </x:c>
      <x:c r="B869" t="n">
        <x:f>RAND()</x:f>
        <x:v>0.6013515781380117</x:v>
      </x:c>
      <x:c r="C869" t="n">
        <x:f>MIN(47,INT(B869*47)+1)</x:f>
        <x:v>29</x:v>
      </x:c>
      <x:c r="D869" t="n">
        <x:f>INDEX(Datos_47_semanas!$B$4:$B$50,C869)</x:f>
        <x:v>415</x:v>
      </x:c>
      <x:c r="E869" t="n">
        <x:f>MIN($B$4,D869)*$B$7+MAX($B$4-D869,0)*$B$9-$B$4*$B$8</x:f>
        <x:v>200</x:v>
      </x:c>
      <x:c r="F869" t="n">
        <x:f>MIN($B$5,D869)*$B$7+MAX($B$5-D869,0)*$B$9-$B$5*$B$8</x:f>
        <x:v>240</x:v>
      </x:c>
      <x:c r="G869" t="n">
        <x:f>MIN($B$6,D869)*$B$7+MAX($B$6-D869,0)*$B$9-$B$6*$B$8</x:f>
        <x:v>320</x:v>
      </x:c>
      <x:c r="H869" t="n">
        <x:f>MAX(D869-$B$5,0)</x:f>
        <x:v>115</x:v>
      </x:c>
      <x:c r="I869" t="n">
        <x:f>MAX($B$5-D869,0)</x:f>
        <x:v>0</x:v>
      </x:c>
    </x:row>
    <x:row r="870">
      <x:c r="A870" t="n">
        <x:f>858</x:f>
        <x:v>858</x:v>
      </x:c>
      <x:c r="B870" t="n">
        <x:f>RAND()</x:f>
        <x:v>0.3665921326922372</x:v>
      </x:c>
      <x:c r="C870" t="n">
        <x:f>MIN(47,INT(B870*47)+1)</x:f>
        <x:v>18</x:v>
      </x:c>
      <x:c r="D870" t="n">
        <x:f>INDEX(Datos_47_semanas!$B$4:$B$50,C870)</x:f>
        <x:v>219</x:v>
      </x:c>
      <x:c r="E870" t="n">
        <x:f>MIN($B$4,D870)*$B$7+MAX($B$4-D870,0)*$B$9-$B$4*$B$8</x:f>
        <x:v>158.14999999999998</x:v>
      </x:c>
      <x:c r="F870" t="n">
        <x:f>MIN($B$5,D870)*$B$7+MAX($B$5-D870,0)*$B$9-$B$5*$B$8</x:f>
        <x:v>130.64999999999998</x:v>
      </x:c>
      <x:c r="G870" t="n">
        <x:f>MIN($B$6,D870)*$B$7+MAX($B$6-D870,0)*$B$9-$B$6*$B$8</x:f>
        <x:v>75.64999999999998</x:v>
      </x:c>
      <x:c r="H870" t="n">
        <x:f>MAX(D870-$B$5,0)</x:f>
        <x:v>0</x:v>
      </x:c>
      <x:c r="I870" t="n">
        <x:f>MAX($B$5-D870,0)</x:f>
        <x:v>81</x:v>
      </x:c>
    </x:row>
    <x:row r="871">
      <x:c r="A871" t="n">
        <x:f>859</x:f>
        <x:v>859</x:v>
      </x:c>
      <x:c r="B871" t="n">
        <x:f>RAND()</x:f>
        <x:v>0.42563656174878395</x:v>
      </x:c>
      <x:c r="C871" t="n">
        <x:f>MIN(47,INT(B871*47)+1)</x:f>
        <x:v>21</x:v>
      </x:c>
      <x:c r="D871" t="n">
        <x:f>INDEX(Datos_47_semanas!$B$4:$B$50,C871)</x:f>
        <x:v>424</x:v>
      </x:c>
      <x:c r="E871" t="n">
        <x:f>MIN($B$4,D871)*$B$7+MAX($B$4-D871,0)*$B$9-$B$4*$B$8</x:f>
        <x:v>200</x:v>
      </x:c>
      <x:c r="F871" t="n">
        <x:f>MIN($B$5,D871)*$B$7+MAX($B$5-D871,0)*$B$9-$B$5*$B$8</x:f>
        <x:v>240</x:v>
      </x:c>
      <x:c r="G871" t="n">
        <x:f>MIN($B$6,D871)*$B$7+MAX($B$6-D871,0)*$B$9-$B$6*$B$8</x:f>
        <x:v>320</x:v>
      </x:c>
      <x:c r="H871" t="n">
        <x:f>MAX(D871-$B$5,0)</x:f>
        <x:v>124</x:v>
      </x:c>
      <x:c r="I871" t="n">
        <x:f>MAX($B$5-D871,0)</x:f>
        <x:v>0</x:v>
      </x:c>
    </x:row>
    <x:row r="872">
      <x:c r="A872" t="n">
        <x:f>860</x:f>
        <x:v>860</x:v>
      </x:c>
      <x:c r="B872" t="n">
        <x:f>RAND()</x:f>
        <x:v>0.873286879848311</x:v>
      </x:c>
      <x:c r="C872" t="n">
        <x:f>MIN(47,INT(B872*47)+1)</x:f>
        <x:v>42</x:v>
      </x:c>
      <x:c r="D872" t="n">
        <x:f>INDEX(Datos_47_semanas!$B$4:$B$50,C872)</x:f>
        <x:v>146</x:v>
      </x:c>
      <x:c r="E872" t="n">
        <x:f>MIN($B$4,D872)*$B$7+MAX($B$4-D872,0)*$B$9-$B$4*$B$8</x:f>
        <x:v>59.599999999999966</x:v>
      </x:c>
      <x:c r="F872" t="n">
        <x:f>MIN($B$5,D872)*$B$7+MAX($B$5-D872,0)*$B$9-$B$5*$B$8</x:f>
        <x:v>32.099999999999966</x:v>
      </x:c>
      <x:c r="G872" t="n">
        <x:f>MIN($B$6,D872)*$B$7+MAX($B$6-D872,0)*$B$9-$B$6*$B$8</x:f>
        <x:v>-22.900000000000034</x:v>
      </x:c>
      <x:c r="H872" t="n">
        <x:f>MAX(D872-$B$5,0)</x:f>
        <x:v>0</x:v>
      </x:c>
      <x:c r="I872" t="n">
        <x:f>MAX($B$5-D872,0)</x:f>
        <x:v>154</x:v>
      </x:c>
    </x:row>
    <x:row r="873">
      <x:c r="A873" t="n">
        <x:f>861</x:f>
        <x:v>861</x:v>
      </x:c>
      <x:c r="B873" t="n">
        <x:f>RAND()</x:f>
        <x:v>0.2668044239915597</x:v>
      </x:c>
      <x:c r="C873" t="n">
        <x:f>MIN(47,INT(B873*47)+1)</x:f>
        <x:v>13</x:v>
      </x:c>
      <x:c r="D873" t="n">
        <x:f>INDEX(Datos_47_semanas!$B$4:$B$50,C873)</x:f>
        <x:v>517</x:v>
      </x:c>
      <x:c r="E873" t="n">
        <x:f>MIN($B$4,D873)*$B$7+MAX($B$4-D873,0)*$B$9-$B$4*$B$8</x:f>
        <x:v>200</x:v>
      </x:c>
      <x:c r="F873" t="n">
        <x:f>MIN($B$5,D873)*$B$7+MAX($B$5-D873,0)*$B$9-$B$5*$B$8</x:f>
        <x:v>240</x:v>
      </x:c>
      <x:c r="G873" t="n">
        <x:f>MIN($B$6,D873)*$B$7+MAX($B$6-D873,0)*$B$9-$B$6*$B$8</x:f>
        <x:v>320</x:v>
      </x:c>
      <x:c r="H873" t="n">
        <x:f>MAX(D873-$B$5,0)</x:f>
        <x:v>217</x:v>
      </x:c>
      <x:c r="I873" t="n">
        <x:f>MAX($B$5-D873,0)</x:f>
        <x:v>0</x:v>
      </x:c>
    </x:row>
    <x:row r="874">
      <x:c r="A874" t="n">
        <x:f>862</x:f>
        <x:v>862</x:v>
      </x:c>
      <x:c r="B874" t="n">
        <x:f>RAND()</x:f>
        <x:v>0.4697314428318835</x:v>
      </x:c>
      <x:c r="C874" t="n">
        <x:f>MIN(47,INT(B874*47)+1)</x:f>
        <x:v>23</x:v>
      </x:c>
      <x:c r="D874" t="n">
        <x:f>INDEX(Datos_47_semanas!$B$4:$B$50,C874)</x:f>
        <x:v>565</x:v>
      </x:c>
      <x:c r="E874" t="n">
        <x:f>MIN($B$4,D874)*$B$7+MAX($B$4-D874,0)*$B$9-$B$4*$B$8</x:f>
        <x:v>200</x:v>
      </x:c>
      <x:c r="F874" t="n">
        <x:f>MIN($B$5,D874)*$B$7+MAX($B$5-D874,0)*$B$9-$B$5*$B$8</x:f>
        <x:v>240</x:v>
      </x:c>
      <x:c r="G874" t="n">
        <x:f>MIN($B$6,D874)*$B$7+MAX($B$6-D874,0)*$B$9-$B$6*$B$8</x:f>
        <x:v>320</x:v>
      </x:c>
      <x:c r="H874" t="n">
        <x:f>MAX(D874-$B$5,0)</x:f>
        <x:v>265</x:v>
      </x:c>
      <x:c r="I874" t="n">
        <x:f>MAX($B$5-D874,0)</x:f>
        <x:v>0</x:v>
      </x:c>
    </x:row>
    <x:row r="875">
      <x:c r="A875" t="n">
        <x:f>863</x:f>
        <x:v>863</x:v>
      </x:c>
      <x:c r="B875" t="n">
        <x:f>RAND()</x:f>
        <x:v>0.8909741757393035</x:v>
      </x:c>
      <x:c r="C875" t="n">
        <x:f>MIN(47,INT(B875*47)+1)</x:f>
        <x:v>42</x:v>
      </x:c>
      <x:c r="D875" t="n">
        <x:f>INDEX(Datos_47_semanas!$B$4:$B$50,C875)</x:f>
        <x:v>146</x:v>
      </x:c>
      <x:c r="E875" t="n">
        <x:f>MIN($B$4,D875)*$B$7+MAX($B$4-D875,0)*$B$9-$B$4*$B$8</x:f>
        <x:v>59.599999999999966</x:v>
      </x:c>
      <x:c r="F875" t="n">
        <x:f>MIN($B$5,D875)*$B$7+MAX($B$5-D875,0)*$B$9-$B$5*$B$8</x:f>
        <x:v>32.099999999999966</x:v>
      </x:c>
      <x:c r="G875" t="n">
        <x:f>MIN($B$6,D875)*$B$7+MAX($B$6-D875,0)*$B$9-$B$6*$B$8</x:f>
        <x:v>-22.900000000000034</x:v>
      </x:c>
      <x:c r="H875" t="n">
        <x:f>MAX(D875-$B$5,0)</x:f>
        <x:v>0</x:v>
      </x:c>
      <x:c r="I875" t="n">
        <x:f>MAX($B$5-D875,0)</x:f>
        <x:v>154</x:v>
      </x:c>
    </x:row>
    <x:row r="876">
      <x:c r="A876" t="n">
        <x:f>864</x:f>
        <x:v>864</x:v>
      </x:c>
      <x:c r="B876" t="n">
        <x:f>RAND()</x:f>
        <x:v>0.5384154061813131</x:v>
      </x:c>
      <x:c r="C876" t="n">
        <x:f>MIN(47,INT(B876*47)+1)</x:f>
        <x:v>26</x:v>
      </x:c>
      <x:c r="D876" t="n">
        <x:f>INDEX(Datos_47_semanas!$B$4:$B$50,C876)</x:f>
        <x:v>183</x:v>
      </x:c>
      <x:c r="E876" t="n">
        <x:f>MIN($B$4,D876)*$B$7+MAX($B$4-D876,0)*$B$9-$B$4*$B$8</x:f>
        <x:v>109.55000000000001</x:v>
      </x:c>
      <x:c r="F876" t="n">
        <x:f>MIN($B$5,D876)*$B$7+MAX($B$5-D876,0)*$B$9-$B$5*$B$8</x:f>
        <x:v>82.05000000000001</x:v>
      </x:c>
      <x:c r="G876" t="n">
        <x:f>MIN($B$6,D876)*$B$7+MAX($B$6-D876,0)*$B$9-$B$6*$B$8</x:f>
        <x:v>27.049999999999955</x:v>
      </x:c>
      <x:c r="H876" t="n">
        <x:f>MAX(D876-$B$5,0)</x:f>
        <x:v>0</x:v>
      </x:c>
      <x:c r="I876" t="n">
        <x:f>MAX($B$5-D876,0)</x:f>
        <x:v>117</x:v>
      </x:c>
    </x:row>
    <x:row r="877">
      <x:c r="A877" t="n">
        <x:f>865</x:f>
        <x:v>865</x:v>
      </x:c>
      <x:c r="B877" t="n">
        <x:f>RAND()</x:f>
        <x:v>0.8024322092474245</x:v>
      </x:c>
      <x:c r="C877" t="n">
        <x:f>MIN(47,INT(B877*47)+1)</x:f>
        <x:v>38</x:v>
      </x:c>
      <x:c r="D877" t="n">
        <x:f>INDEX(Datos_47_semanas!$B$4:$B$50,C877)</x:f>
        <x:v>212</x:v>
      </x:c>
      <x:c r="E877" t="n">
        <x:f>MIN($B$4,D877)*$B$7+MAX($B$4-D877,0)*$B$9-$B$4*$B$8</x:f>
        <x:v>148.69999999999993</x:v>
      </x:c>
      <x:c r="F877" t="n">
        <x:f>MIN($B$5,D877)*$B$7+MAX($B$5-D877,0)*$B$9-$B$5*$B$8</x:f>
        <x:v>121.19999999999993</x:v>
      </x:c>
      <x:c r="G877" t="n">
        <x:f>MIN($B$6,D877)*$B$7+MAX($B$6-D877,0)*$B$9-$B$6*$B$8</x:f>
        <x:v>66.19999999999993</x:v>
      </x:c>
      <x:c r="H877" t="n">
        <x:f>MAX(D877-$B$5,0)</x:f>
        <x:v>0</x:v>
      </x:c>
      <x:c r="I877" t="n">
        <x:f>MAX($B$5-D877,0)</x:f>
        <x:v>88</x:v>
      </x:c>
    </x:row>
    <x:row r="878">
      <x:c r="A878" t="n">
        <x:f>866</x:f>
        <x:v>866</x:v>
      </x:c>
      <x:c r="B878" t="n">
        <x:f>RAND()</x:f>
        <x:v>0.486512819443196</x:v>
      </x:c>
      <x:c r="C878" t="n">
        <x:f>MIN(47,INT(B878*47)+1)</x:f>
        <x:v>23</x:v>
      </x:c>
      <x:c r="D878" t="n">
        <x:f>INDEX(Datos_47_semanas!$B$4:$B$50,C878)</x:f>
        <x:v>565</x:v>
      </x:c>
      <x:c r="E878" t="n">
        <x:f>MIN($B$4,D878)*$B$7+MAX($B$4-D878,0)*$B$9-$B$4*$B$8</x:f>
        <x:v>200</x:v>
      </x:c>
      <x:c r="F878" t="n">
        <x:f>MIN($B$5,D878)*$B$7+MAX($B$5-D878,0)*$B$9-$B$5*$B$8</x:f>
        <x:v>240</x:v>
      </x:c>
      <x:c r="G878" t="n">
        <x:f>MIN($B$6,D878)*$B$7+MAX($B$6-D878,0)*$B$9-$B$6*$B$8</x:f>
        <x:v>320</x:v>
      </x:c>
      <x:c r="H878" t="n">
        <x:f>MAX(D878-$B$5,0)</x:f>
        <x:v>265</x:v>
      </x:c>
      <x:c r="I878" t="n">
        <x:f>MAX($B$5-D878,0)</x:f>
        <x:v>0</x:v>
      </x:c>
    </x:row>
    <x:row r="879">
      <x:c r="A879" t="n">
        <x:f>867</x:f>
        <x:v>867</x:v>
      </x:c>
      <x:c r="B879" t="n">
        <x:f>RAND()</x:f>
        <x:v>0.6210761726580806</x:v>
      </x:c>
      <x:c r="C879" t="n">
        <x:f>MIN(47,INT(B879*47)+1)</x:f>
        <x:v>30</x:v>
      </x:c>
      <x:c r="D879" t="n">
        <x:f>INDEX(Datos_47_semanas!$B$4:$B$50,C879)</x:f>
        <x:v>345</x:v>
      </x:c>
      <x:c r="E879" t="n">
        <x:f>MIN($B$4,D879)*$B$7+MAX($B$4-D879,0)*$B$9-$B$4*$B$8</x:f>
        <x:v>200</x:v>
      </x:c>
      <x:c r="F879" t="n">
        <x:f>MIN($B$5,D879)*$B$7+MAX($B$5-D879,0)*$B$9-$B$5*$B$8</x:f>
        <x:v>240</x:v>
      </x:c>
      <x:c r="G879" t="n">
        <x:f>MIN($B$6,D879)*$B$7+MAX($B$6-D879,0)*$B$9-$B$6*$B$8</x:f>
        <x:v>245.75</x:v>
      </x:c>
      <x:c r="H879" t="n">
        <x:f>MAX(D879-$B$5,0)</x:f>
        <x:v>45</x:v>
      </x:c>
      <x:c r="I879" t="n">
        <x:f>MAX($B$5-D879,0)</x:f>
        <x:v>0</x:v>
      </x:c>
    </x:row>
    <x:row r="880">
      <x:c r="A880" t="n">
        <x:f>868</x:f>
        <x:v>868</x:v>
      </x:c>
      <x:c r="B880" t="n">
        <x:f>RAND()</x:f>
        <x:v>0.09821224981274879</x:v>
      </x:c>
      <x:c r="C880" t="n">
        <x:f>MIN(47,INT(B880*47)+1)</x:f>
        <x:v>5</x:v>
      </x:c>
      <x:c r="D880" t="n">
        <x:f>INDEX(Datos_47_semanas!$B$4:$B$50,C880)</x:f>
        <x:v>347</x:v>
      </x:c>
      <x:c r="E880" t="n">
        <x:f>MIN($B$4,D880)*$B$7+MAX($B$4-D880,0)*$B$9-$B$4*$B$8</x:f>
        <x:v>200</x:v>
      </x:c>
      <x:c r="F880" t="n">
        <x:f>MIN($B$5,D880)*$B$7+MAX($B$5-D880,0)*$B$9-$B$5*$B$8</x:f>
        <x:v>240</x:v>
      </x:c>
      <x:c r="G880" t="n">
        <x:f>MIN($B$6,D880)*$B$7+MAX($B$6-D880,0)*$B$9-$B$6*$B$8</x:f>
        <x:v>248.44999999999993</x:v>
      </x:c>
      <x:c r="H880" t="n">
        <x:f>MAX(D880-$B$5,0)</x:f>
        <x:v>47</x:v>
      </x:c>
      <x:c r="I880" t="n">
        <x:f>MAX($B$5-D880,0)</x:f>
        <x:v>0</x:v>
      </x:c>
    </x:row>
    <x:row r="881">
      <x:c r="A881" t="n">
        <x:f>869</x:f>
        <x:v>869</x:v>
      </x:c>
      <x:c r="B881" t="n">
        <x:f>RAND()</x:f>
        <x:v>0.5487680488269739</x:v>
      </x:c>
      <x:c r="C881" t="n">
        <x:f>MIN(47,INT(B881*47)+1)</x:f>
        <x:v>26</x:v>
      </x:c>
      <x:c r="D881" t="n">
        <x:f>INDEX(Datos_47_semanas!$B$4:$B$50,C881)</x:f>
        <x:v>183</x:v>
      </x:c>
      <x:c r="E881" t="n">
        <x:f>MIN($B$4,D881)*$B$7+MAX($B$4-D881,0)*$B$9-$B$4*$B$8</x:f>
        <x:v>109.55000000000001</x:v>
      </x:c>
      <x:c r="F881" t="n">
        <x:f>MIN($B$5,D881)*$B$7+MAX($B$5-D881,0)*$B$9-$B$5*$B$8</x:f>
        <x:v>82.05000000000001</x:v>
      </x:c>
      <x:c r="G881" t="n">
        <x:f>MIN($B$6,D881)*$B$7+MAX($B$6-D881,0)*$B$9-$B$6*$B$8</x:f>
        <x:v>27.049999999999955</x:v>
      </x:c>
      <x:c r="H881" t="n">
        <x:f>MAX(D881-$B$5,0)</x:f>
        <x:v>0</x:v>
      </x:c>
      <x:c r="I881" t="n">
        <x:f>MAX($B$5-D881,0)</x:f>
        <x:v>117</x:v>
      </x:c>
    </x:row>
    <x:row r="882">
      <x:c r="A882" t="n">
        <x:f>870</x:f>
        <x:v>870</x:v>
      </x:c>
      <x:c r="B882" t="n">
        <x:f>RAND()</x:f>
        <x:v>0.5154297967936797</x:v>
      </x:c>
      <x:c r="C882" t="n">
        <x:f>MIN(47,INT(B882*47)+1)</x:f>
        <x:v>25</x:v>
      </x:c>
      <x:c r="D882" t="n">
        <x:f>INDEX(Datos_47_semanas!$B$4:$B$50,C882)</x:f>
        <x:v>218</x:v>
      </x:c>
      <x:c r="E882" t="n">
        <x:f>MIN($B$4,D882)*$B$7+MAX($B$4-D882,0)*$B$9-$B$4*$B$8</x:f>
        <x:v>156.8</x:v>
      </x:c>
      <x:c r="F882" t="n">
        <x:f>MIN($B$5,D882)*$B$7+MAX($B$5-D882,0)*$B$9-$B$5*$B$8</x:f>
        <x:v>129.3</x:v>
      </x:c>
      <x:c r="G882" t="n">
        <x:f>MIN($B$6,D882)*$B$7+MAX($B$6-D882,0)*$B$9-$B$6*$B$8</x:f>
        <x:v>74.30000000000001</x:v>
      </x:c>
      <x:c r="H882" t="n">
        <x:f>MAX(D882-$B$5,0)</x:f>
        <x:v>0</x:v>
      </x:c>
      <x:c r="I882" t="n">
        <x:f>MAX($B$5-D882,0)</x:f>
        <x:v>82</x:v>
      </x:c>
    </x:row>
    <x:row r="883">
      <x:c r="A883" t="n">
        <x:f>871</x:f>
        <x:v>871</x:v>
      </x:c>
      <x:c r="B883" t="n">
        <x:f>RAND()</x:f>
        <x:v>0.5543346922072976</x:v>
      </x:c>
      <x:c r="C883" t="n">
        <x:f>MIN(47,INT(B883*47)+1)</x:f>
        <x:v>27</x:v>
      </x:c>
      <x:c r="D883" t="n">
        <x:f>INDEX(Datos_47_semanas!$B$4:$B$50,C883)</x:f>
        <x:v>293</x:v>
      </x:c>
      <x:c r="E883" t="n">
        <x:f>MIN($B$4,D883)*$B$7+MAX($B$4-D883,0)*$B$9-$B$4*$B$8</x:f>
        <x:v>200</x:v>
      </x:c>
      <x:c r="F883" t="n">
        <x:f>MIN($B$5,D883)*$B$7+MAX($B$5-D883,0)*$B$9-$B$5*$B$8</x:f>
        <x:v>230.55</x:v>
      </x:c>
      <x:c r="G883" t="n">
        <x:f>MIN($B$6,D883)*$B$7+MAX($B$6-D883,0)*$B$9-$B$6*$B$8</x:f>
        <x:v>175.54999999999995</x:v>
      </x:c>
      <x:c r="H883" t="n">
        <x:f>MAX(D883-$B$5,0)</x:f>
        <x:v>0</x:v>
      </x:c>
      <x:c r="I883" t="n">
        <x:f>MAX($B$5-D883,0)</x:f>
        <x:v>7</x:v>
      </x:c>
    </x:row>
    <x:row r="884">
      <x:c r="A884" t="n">
        <x:f>872</x:f>
        <x:v>872</x:v>
      </x:c>
      <x:c r="B884" t="n">
        <x:f>RAND()</x:f>
        <x:v>0.11245185270055091</x:v>
      </x:c>
      <x:c r="C884" t="n">
        <x:f>MIN(47,INT(B884*47)+1)</x:f>
        <x:v>6</x:v>
      </x:c>
      <x:c r="D884" t="n">
        <x:f>INDEX(Datos_47_semanas!$B$4:$B$50,C884)</x:f>
        <x:v>155</x:v>
      </x:c>
      <x:c r="E884" t="n">
        <x:f>MIN($B$4,D884)*$B$7+MAX($B$4-D884,0)*$B$9-$B$4*$B$8</x:f>
        <x:v>71.75</x:v>
      </x:c>
      <x:c r="F884" t="n">
        <x:f>MIN($B$5,D884)*$B$7+MAX($B$5-D884,0)*$B$9-$B$5*$B$8</x:f>
        <x:v>44.25</x:v>
      </x:c>
      <x:c r="G884" t="n">
        <x:f>MIN($B$6,D884)*$B$7+MAX($B$6-D884,0)*$B$9-$B$6*$B$8</x:f>
        <x:v>-10.75</x:v>
      </x:c>
      <x:c r="H884" t="n">
        <x:f>MAX(D884-$B$5,0)</x:f>
        <x:v>0</x:v>
      </x:c>
      <x:c r="I884" t="n">
        <x:f>MAX($B$5-D884,0)</x:f>
        <x:v>145</x:v>
      </x:c>
    </x:row>
    <x:row r="885">
      <x:c r="A885" t="n">
        <x:f>873</x:f>
        <x:v>873</x:v>
      </x:c>
      <x:c r="B885" t="n">
        <x:f>RAND()</x:f>
        <x:v>0.09535095541658067</x:v>
      </x:c>
      <x:c r="C885" t="n">
        <x:f>MIN(47,INT(B885*47)+1)</x:f>
        <x:v>5</x:v>
      </x:c>
      <x:c r="D885" t="n">
        <x:f>INDEX(Datos_47_semanas!$B$4:$B$50,C885)</x:f>
        <x:v>347</x:v>
      </x:c>
      <x:c r="E885" t="n">
        <x:f>MIN($B$4,D885)*$B$7+MAX($B$4-D885,0)*$B$9-$B$4*$B$8</x:f>
        <x:v>200</x:v>
      </x:c>
      <x:c r="F885" t="n">
        <x:f>MIN($B$5,D885)*$B$7+MAX($B$5-D885,0)*$B$9-$B$5*$B$8</x:f>
        <x:v>240</x:v>
      </x:c>
      <x:c r="G885" t="n">
        <x:f>MIN($B$6,D885)*$B$7+MAX($B$6-D885,0)*$B$9-$B$6*$B$8</x:f>
        <x:v>248.44999999999993</x:v>
      </x:c>
      <x:c r="H885" t="n">
        <x:f>MAX(D885-$B$5,0)</x:f>
        <x:v>47</x:v>
      </x:c>
      <x:c r="I885" t="n">
        <x:f>MAX($B$5-D885,0)</x:f>
        <x:v>0</x:v>
      </x:c>
    </x:row>
    <x:row r="886">
      <x:c r="A886" t="n">
        <x:f>874</x:f>
        <x:v>874</x:v>
      </x:c>
      <x:c r="B886" t="n">
        <x:f>RAND()</x:f>
        <x:v>0.15206178900171974</x:v>
      </x:c>
      <x:c r="C886" t="n">
        <x:f>MIN(47,INT(B886*47)+1)</x:f>
        <x:v>8</x:v>
      </x:c>
      <x:c r="D886" t="n">
        <x:f>INDEX(Datos_47_semanas!$B$4:$B$50,C886)</x:f>
        <x:v>259</x:v>
      </x:c>
      <x:c r="E886" t="n">
        <x:f>MIN($B$4,D886)*$B$7+MAX($B$4-D886,0)*$B$9-$B$4*$B$8</x:f>
        <x:v>200</x:v>
      </x:c>
      <x:c r="F886" t="n">
        <x:f>MIN($B$5,D886)*$B$7+MAX($B$5-D886,0)*$B$9-$B$5*$B$8</x:f>
        <x:v>184.64999999999998</x:v>
      </x:c>
      <x:c r="G886" t="n">
        <x:f>MIN($B$6,D886)*$B$7+MAX($B$6-D886,0)*$B$9-$B$6*$B$8</x:f>
        <x:v>129.64999999999998</x:v>
      </x:c>
      <x:c r="H886" t="n">
        <x:f>MAX(D886-$B$5,0)</x:f>
        <x:v>0</x:v>
      </x:c>
      <x:c r="I886" t="n">
        <x:f>MAX($B$5-D886,0)</x:f>
        <x:v>41</x:v>
      </x:c>
    </x:row>
    <x:row r="887">
      <x:c r="A887" t="n">
        <x:f>875</x:f>
        <x:v>875</x:v>
      </x:c>
      <x:c r="B887" t="n">
        <x:f>RAND()</x:f>
        <x:v>0.3939819248222155</x:v>
      </x:c>
      <x:c r="C887" t="n">
        <x:f>MIN(47,INT(B887*47)+1)</x:f>
        <x:v>19</x:v>
      </x:c>
      <x:c r="D887" t="n">
        <x:f>INDEX(Datos_47_semanas!$B$4:$B$50,C887)</x:f>
        <x:v>470</x:v>
      </x:c>
      <x:c r="E887" t="n">
        <x:f>MIN($B$4,D887)*$B$7+MAX($B$4-D887,0)*$B$9-$B$4*$B$8</x:f>
        <x:v>200</x:v>
      </x:c>
      <x:c r="F887" t="n">
        <x:f>MIN($B$5,D887)*$B$7+MAX($B$5-D887,0)*$B$9-$B$5*$B$8</x:f>
        <x:v>240</x:v>
      </x:c>
      <x:c r="G887" t="n">
        <x:f>MIN($B$6,D887)*$B$7+MAX($B$6-D887,0)*$B$9-$B$6*$B$8</x:f>
        <x:v>320</x:v>
      </x:c>
      <x:c r="H887" t="n">
        <x:f>MAX(D887-$B$5,0)</x:f>
        <x:v>170</x:v>
      </x:c>
      <x:c r="I887" t="n">
        <x:f>MAX($B$5-D887,0)</x:f>
        <x:v>0</x:v>
      </x:c>
    </x:row>
    <x:row r="888">
      <x:c r="A888" t="n">
        <x:f>876</x:f>
        <x:v>876</x:v>
      </x:c>
      <x:c r="B888" t="n">
        <x:f>RAND()</x:f>
        <x:v>0.6371315975539712</x:v>
      </x:c>
      <x:c r="C888" t="n">
        <x:f>MIN(47,INT(B888*47)+1)</x:f>
        <x:v>30</x:v>
      </x:c>
      <x:c r="D888" t="n">
        <x:f>INDEX(Datos_47_semanas!$B$4:$B$50,C888)</x:f>
        <x:v>345</x:v>
      </x:c>
      <x:c r="E888" t="n">
        <x:f>MIN($B$4,D888)*$B$7+MAX($B$4-D888,0)*$B$9-$B$4*$B$8</x:f>
        <x:v>200</x:v>
      </x:c>
      <x:c r="F888" t="n">
        <x:f>MIN($B$5,D888)*$B$7+MAX($B$5-D888,0)*$B$9-$B$5*$B$8</x:f>
        <x:v>240</x:v>
      </x:c>
      <x:c r="G888" t="n">
        <x:f>MIN($B$6,D888)*$B$7+MAX($B$6-D888,0)*$B$9-$B$6*$B$8</x:f>
        <x:v>245.75</x:v>
      </x:c>
      <x:c r="H888" t="n">
        <x:f>MAX(D888-$B$5,0)</x:f>
        <x:v>45</x:v>
      </x:c>
      <x:c r="I888" t="n">
        <x:f>MAX($B$5-D888,0)</x:f>
        <x:v>0</x:v>
      </x:c>
    </x:row>
    <x:row r="889">
      <x:c r="A889" t="n">
        <x:f>877</x:f>
        <x:v>877</x:v>
      </x:c>
      <x:c r="B889" t="n">
        <x:f>RAND()</x:f>
        <x:v>0.4455271816325539</x:v>
      </x:c>
      <x:c r="C889" t="n">
        <x:f>MIN(47,INT(B889*47)+1)</x:f>
        <x:v>21</x:v>
      </x:c>
      <x:c r="D889" t="n">
        <x:f>INDEX(Datos_47_semanas!$B$4:$B$50,C889)</x:f>
        <x:v>424</x:v>
      </x:c>
      <x:c r="E889" t="n">
        <x:f>MIN($B$4,D889)*$B$7+MAX($B$4-D889,0)*$B$9-$B$4*$B$8</x:f>
        <x:v>200</x:v>
      </x:c>
      <x:c r="F889" t="n">
        <x:f>MIN($B$5,D889)*$B$7+MAX($B$5-D889,0)*$B$9-$B$5*$B$8</x:f>
        <x:v>240</x:v>
      </x:c>
      <x:c r="G889" t="n">
        <x:f>MIN($B$6,D889)*$B$7+MAX($B$6-D889,0)*$B$9-$B$6*$B$8</x:f>
        <x:v>320</x:v>
      </x:c>
      <x:c r="H889" t="n">
        <x:f>MAX(D889-$B$5,0)</x:f>
        <x:v>124</x:v>
      </x:c>
      <x:c r="I889" t="n">
        <x:f>MAX($B$5-D889,0)</x:f>
        <x:v>0</x:v>
      </x:c>
    </x:row>
    <x:row r="890">
      <x:c r="A890" t="n">
        <x:f>878</x:f>
        <x:v>878</x:v>
      </x:c>
      <x:c r="B890" t="n">
        <x:f>RAND()</x:f>
        <x:v>0.6624537618599996</x:v>
      </x:c>
      <x:c r="C890" t="n">
        <x:f>MIN(47,INT(B890*47)+1)</x:f>
        <x:v>32</x:v>
      </x:c>
      <x:c r="D890" t="n">
        <x:f>INDEX(Datos_47_semanas!$B$4:$B$50,C890)</x:f>
        <x:v>575</x:v>
      </x:c>
      <x:c r="E890" t="n">
        <x:f>MIN($B$4,D890)*$B$7+MAX($B$4-D890,0)*$B$9-$B$4*$B$8</x:f>
        <x:v>200</x:v>
      </x:c>
      <x:c r="F890" t="n">
        <x:f>MIN($B$5,D890)*$B$7+MAX($B$5-D890,0)*$B$9-$B$5*$B$8</x:f>
        <x:v>240</x:v>
      </x:c>
      <x:c r="G890" t="n">
        <x:f>MIN($B$6,D890)*$B$7+MAX($B$6-D890,0)*$B$9-$B$6*$B$8</x:f>
        <x:v>320</x:v>
      </x:c>
      <x:c r="H890" t="n">
        <x:f>MAX(D890-$B$5,0)</x:f>
        <x:v>275</x:v>
      </x:c>
      <x:c r="I890" t="n">
        <x:f>MAX($B$5-D890,0)</x:f>
        <x:v>0</x:v>
      </x:c>
    </x:row>
    <x:row r="891">
      <x:c r="A891" t="n">
        <x:f>879</x:f>
        <x:v>879</x:v>
      </x:c>
      <x:c r="B891" t="n">
        <x:f>RAND()</x:f>
        <x:v>0.25358063241047823</x:v>
      </x:c>
      <x:c r="C891" t="n">
        <x:f>MIN(47,INT(B891*47)+1)</x:f>
        <x:v>12</x:v>
      </x:c>
      <x:c r="D891" t="n">
        <x:f>INDEX(Datos_47_semanas!$B$4:$B$50,C891)</x:f>
        <x:v>336</x:v>
      </x:c>
      <x:c r="E891" t="n">
        <x:f>MIN($B$4,D891)*$B$7+MAX($B$4-D891,0)*$B$9-$B$4*$B$8</x:f>
        <x:v>200</x:v>
      </x:c>
      <x:c r="F891" t="n">
        <x:f>MIN($B$5,D891)*$B$7+MAX($B$5-D891,0)*$B$9-$B$5*$B$8</x:f>
        <x:v>240</x:v>
      </x:c>
      <x:c r="G891" t="n">
        <x:f>MIN($B$6,D891)*$B$7+MAX($B$6-D891,0)*$B$9-$B$6*$B$8</x:f>
        <x:v>233.60000000000002</x:v>
      </x:c>
      <x:c r="H891" t="n">
        <x:f>MAX(D891-$B$5,0)</x:f>
        <x:v>36</x:v>
      </x:c>
      <x:c r="I891" t="n">
        <x:f>MAX($B$5-D891,0)</x:f>
        <x:v>0</x:v>
      </x:c>
    </x:row>
    <x:row r="892">
      <x:c r="A892" t="n">
        <x:f>880</x:f>
        <x:v>880</x:v>
      </x:c>
      <x:c r="B892" t="n">
        <x:f>RAND()</x:f>
        <x:v>0.6695563707378394</x:v>
      </x:c>
      <x:c r="C892" t="n">
        <x:f>MIN(47,INT(B892*47)+1)</x:f>
        <x:v>32</x:v>
      </x:c>
      <x:c r="D892" t="n">
        <x:f>INDEX(Datos_47_semanas!$B$4:$B$50,C892)</x:f>
        <x:v>575</x:v>
      </x:c>
      <x:c r="E892" t="n">
        <x:f>MIN($B$4,D892)*$B$7+MAX($B$4-D892,0)*$B$9-$B$4*$B$8</x:f>
        <x:v>200</x:v>
      </x:c>
      <x:c r="F892" t="n">
        <x:f>MIN($B$5,D892)*$B$7+MAX($B$5-D892,0)*$B$9-$B$5*$B$8</x:f>
        <x:v>240</x:v>
      </x:c>
      <x:c r="G892" t="n">
        <x:f>MIN($B$6,D892)*$B$7+MAX($B$6-D892,0)*$B$9-$B$6*$B$8</x:f>
        <x:v>320</x:v>
      </x:c>
      <x:c r="H892" t="n">
        <x:f>MAX(D892-$B$5,0)</x:f>
        <x:v>275</x:v>
      </x:c>
      <x:c r="I892" t="n">
        <x:f>MAX($B$5-D892,0)</x:f>
        <x:v>0</x:v>
      </x:c>
    </x:row>
    <x:row r="893">
      <x:c r="A893" t="n">
        <x:f>881</x:f>
        <x:v>881</x:v>
      </x:c>
      <x:c r="B893" t="n">
        <x:f>RAND()</x:f>
        <x:v>0.9555616512965627</x:v>
      </x:c>
      <x:c r="C893" t="n">
        <x:f>MIN(47,INT(B893*47)+1)</x:f>
        <x:v>45</x:v>
      </x:c>
      <x:c r="D893" t="n">
        <x:f>INDEX(Datos_47_semanas!$B$4:$B$50,C893)</x:f>
        <x:v>526</x:v>
      </x:c>
      <x:c r="E893" t="n">
        <x:f>MIN($B$4,D893)*$B$7+MAX($B$4-D893,0)*$B$9-$B$4*$B$8</x:f>
        <x:v>200</x:v>
      </x:c>
      <x:c r="F893" t="n">
        <x:f>MIN($B$5,D893)*$B$7+MAX($B$5-D893,0)*$B$9-$B$5*$B$8</x:f>
        <x:v>240</x:v>
      </x:c>
      <x:c r="G893" t="n">
        <x:f>MIN($B$6,D893)*$B$7+MAX($B$6-D893,0)*$B$9-$B$6*$B$8</x:f>
        <x:v>320</x:v>
      </x:c>
      <x:c r="H893" t="n">
        <x:f>MAX(D893-$B$5,0)</x:f>
        <x:v>226</x:v>
      </x:c>
      <x:c r="I893" t="n">
        <x:f>MAX($B$5-D893,0)</x:f>
        <x:v>0</x:v>
      </x:c>
    </x:row>
    <x:row r="894">
      <x:c r="A894" t="n">
        <x:f>882</x:f>
        <x:v>882</x:v>
      </x:c>
      <x:c r="B894" t="n">
        <x:f>RAND()</x:f>
        <x:v>0.21368502347440688</x:v>
      </x:c>
      <x:c r="C894" t="n">
        <x:f>MIN(47,INT(B894*47)+1)</x:f>
        <x:v>11</x:v>
      </x:c>
      <x:c r="D894" t="n">
        <x:f>INDEX(Datos_47_semanas!$B$4:$B$50,C894)</x:f>
        <x:v>268</x:v>
      </x:c>
      <x:c r="E894" t="n">
        <x:f>MIN($B$4,D894)*$B$7+MAX($B$4-D894,0)*$B$9-$B$4*$B$8</x:f>
        <x:v>200</x:v>
      </x:c>
      <x:c r="F894" t="n">
        <x:f>MIN($B$5,D894)*$B$7+MAX($B$5-D894,0)*$B$9-$B$5*$B$8</x:f>
        <x:v>196.8</x:v>
      </x:c>
      <x:c r="G894" t="n">
        <x:f>MIN($B$6,D894)*$B$7+MAX($B$6-D894,0)*$B$9-$B$6*$B$8</x:f>
        <x:v>141.8</x:v>
      </x:c>
      <x:c r="H894" t="n">
        <x:f>MAX(D894-$B$5,0)</x:f>
        <x:v>0</x:v>
      </x:c>
      <x:c r="I894" t="n">
        <x:f>MAX($B$5-D894,0)</x:f>
        <x:v>32</x:v>
      </x:c>
    </x:row>
    <x:row r="895">
      <x:c r="A895" t="n">
        <x:f>883</x:f>
        <x:v>883</x:v>
      </x:c>
      <x:c r="B895" t="n">
        <x:f>RAND()</x:f>
        <x:v>0.5413175733330677</x:v>
      </x:c>
      <x:c r="C895" t="n">
        <x:f>MIN(47,INT(B895*47)+1)</x:f>
        <x:v>26</x:v>
      </x:c>
      <x:c r="D895" t="n">
        <x:f>INDEX(Datos_47_semanas!$B$4:$B$50,C895)</x:f>
        <x:v>183</x:v>
      </x:c>
      <x:c r="E895" t="n">
        <x:f>MIN($B$4,D895)*$B$7+MAX($B$4-D895,0)*$B$9-$B$4*$B$8</x:f>
        <x:v>109.55000000000001</x:v>
      </x:c>
      <x:c r="F895" t="n">
        <x:f>MIN($B$5,D895)*$B$7+MAX($B$5-D895,0)*$B$9-$B$5*$B$8</x:f>
        <x:v>82.05000000000001</x:v>
      </x:c>
      <x:c r="G895" t="n">
        <x:f>MIN($B$6,D895)*$B$7+MAX($B$6-D895,0)*$B$9-$B$6*$B$8</x:f>
        <x:v>27.049999999999955</x:v>
      </x:c>
      <x:c r="H895" t="n">
        <x:f>MAX(D895-$B$5,0)</x:f>
        <x:v>0</x:v>
      </x:c>
      <x:c r="I895" t="n">
        <x:f>MAX($B$5-D895,0)</x:f>
        <x:v>117</x:v>
      </x:c>
    </x:row>
    <x:row r="896">
      <x:c r="A896" t="n">
        <x:f>884</x:f>
        <x:v>884</x:v>
      </x:c>
      <x:c r="B896" t="n">
        <x:f>RAND()</x:f>
        <x:v>0.8846134118270182</x:v>
      </x:c>
      <x:c r="C896" t="n">
        <x:f>MIN(47,INT(B896*47)+1)</x:f>
        <x:v>42</x:v>
      </x:c>
      <x:c r="D896" t="n">
        <x:f>INDEX(Datos_47_semanas!$B$4:$B$50,C896)</x:f>
        <x:v>146</x:v>
      </x:c>
      <x:c r="E896" t="n">
        <x:f>MIN($B$4,D896)*$B$7+MAX($B$4-D896,0)*$B$9-$B$4*$B$8</x:f>
        <x:v>59.599999999999966</x:v>
      </x:c>
      <x:c r="F896" t="n">
        <x:f>MIN($B$5,D896)*$B$7+MAX($B$5-D896,0)*$B$9-$B$5*$B$8</x:f>
        <x:v>32.099999999999966</x:v>
      </x:c>
      <x:c r="G896" t="n">
        <x:f>MIN($B$6,D896)*$B$7+MAX($B$6-D896,0)*$B$9-$B$6*$B$8</x:f>
        <x:v>-22.900000000000034</x:v>
      </x:c>
      <x:c r="H896" t="n">
        <x:f>MAX(D896-$B$5,0)</x:f>
        <x:v>0</x:v>
      </x:c>
      <x:c r="I896" t="n">
        <x:f>MAX($B$5-D896,0)</x:f>
        <x:v>154</x:v>
      </x:c>
    </x:row>
    <x:row r="897">
      <x:c r="A897" t="n">
        <x:f>885</x:f>
        <x:v>885</x:v>
      </x:c>
      <x:c r="B897" t="n">
        <x:f>RAND()</x:f>
        <x:v>0.8696186146225814</x:v>
      </x:c>
      <x:c r="C897" t="n">
        <x:f>MIN(47,INT(B897*47)+1)</x:f>
        <x:v>41</x:v>
      </x:c>
      <x:c r="D897" t="n">
        <x:f>INDEX(Datos_47_semanas!$B$4:$B$50,C897)</x:f>
        <x:v>383</x:v>
      </x:c>
      <x:c r="E897" t="n">
        <x:f>MIN($B$4,D897)*$B$7+MAX($B$4-D897,0)*$B$9-$B$4*$B$8</x:f>
        <x:v>200</x:v>
      </x:c>
      <x:c r="F897" t="n">
        <x:f>MIN($B$5,D897)*$B$7+MAX($B$5-D897,0)*$B$9-$B$5*$B$8</x:f>
        <x:v>240</x:v>
      </x:c>
      <x:c r="G897" t="n">
        <x:f>MIN($B$6,D897)*$B$7+MAX($B$6-D897,0)*$B$9-$B$6*$B$8</x:f>
        <x:v>297.04999999999995</x:v>
      </x:c>
      <x:c r="H897" t="n">
        <x:f>MAX(D897-$B$5,0)</x:f>
        <x:v>83</x:v>
      </x:c>
      <x:c r="I897" t="n">
        <x:f>MAX($B$5-D897,0)</x:f>
        <x:v>0</x:v>
      </x:c>
    </x:row>
    <x:row r="898">
      <x:c r="A898" t="n">
        <x:f>886</x:f>
        <x:v>886</x:v>
      </x:c>
      <x:c r="B898" t="n">
        <x:f>RAND()</x:f>
        <x:v>0.8821336969982135</x:v>
      </x:c>
      <x:c r="C898" t="n">
        <x:f>MIN(47,INT(B898*47)+1)</x:f>
        <x:v>42</x:v>
      </x:c>
      <x:c r="D898" t="n">
        <x:f>INDEX(Datos_47_semanas!$B$4:$B$50,C898)</x:f>
        <x:v>146</x:v>
      </x:c>
      <x:c r="E898" t="n">
        <x:f>MIN($B$4,D898)*$B$7+MAX($B$4-D898,0)*$B$9-$B$4*$B$8</x:f>
        <x:v>59.599999999999966</x:v>
      </x:c>
      <x:c r="F898" t="n">
        <x:f>MIN($B$5,D898)*$B$7+MAX($B$5-D898,0)*$B$9-$B$5*$B$8</x:f>
        <x:v>32.099999999999966</x:v>
      </x:c>
      <x:c r="G898" t="n">
        <x:f>MIN($B$6,D898)*$B$7+MAX($B$6-D898,0)*$B$9-$B$6*$B$8</x:f>
        <x:v>-22.900000000000034</x:v>
      </x:c>
      <x:c r="H898" t="n">
        <x:f>MAX(D898-$B$5,0)</x:f>
        <x:v>0</x:v>
      </x:c>
      <x:c r="I898" t="n">
        <x:f>MAX($B$5-D898,0)</x:f>
        <x:v>154</x:v>
      </x:c>
    </x:row>
    <x:row r="899">
      <x:c r="A899" t="n">
        <x:f>887</x:f>
        <x:v>887</x:v>
      </x:c>
      <x:c r="B899" t="n">
        <x:f>RAND()</x:f>
        <x:v>0.21735439582256222</x:v>
      </x:c>
      <x:c r="C899" t="n">
        <x:f>MIN(47,INT(B899*47)+1)</x:f>
        <x:v>11</x:v>
      </x:c>
      <x:c r="D899" t="n">
        <x:f>INDEX(Datos_47_semanas!$B$4:$B$50,C899)</x:f>
        <x:v>268</x:v>
      </x:c>
      <x:c r="E899" t="n">
        <x:f>MIN($B$4,D899)*$B$7+MAX($B$4-D899,0)*$B$9-$B$4*$B$8</x:f>
        <x:v>200</x:v>
      </x:c>
      <x:c r="F899" t="n">
        <x:f>MIN($B$5,D899)*$B$7+MAX($B$5-D899,0)*$B$9-$B$5*$B$8</x:f>
        <x:v>196.8</x:v>
      </x:c>
      <x:c r="G899" t="n">
        <x:f>MIN($B$6,D899)*$B$7+MAX($B$6-D899,0)*$B$9-$B$6*$B$8</x:f>
        <x:v>141.8</x:v>
      </x:c>
      <x:c r="H899" t="n">
        <x:f>MAX(D899-$B$5,0)</x:f>
        <x:v>0</x:v>
      </x:c>
      <x:c r="I899" t="n">
        <x:f>MAX($B$5-D899,0)</x:f>
        <x:v>32</x:v>
      </x:c>
    </x:row>
    <x:row r="900">
      <x:c r="A900" t="n">
        <x:f>888</x:f>
        <x:v>888</x:v>
      </x:c>
      <x:c r="B900" t="n">
        <x:f>RAND()</x:f>
        <x:v>0.7386229975862794</x:v>
      </x:c>
      <x:c r="C900" t="n">
        <x:f>MIN(47,INT(B900*47)+1)</x:f>
        <x:v>35</x:v>
      </x:c>
      <x:c r="D900" t="n">
        <x:f>INDEX(Datos_47_semanas!$B$4:$B$50,C900)</x:f>
        <x:v>192</x:v>
      </x:c>
      <x:c r="E900" t="n">
        <x:f>MIN($B$4,D900)*$B$7+MAX($B$4-D900,0)*$B$9-$B$4*$B$8</x:f>
        <x:v>121.69999999999993</x:v>
      </x:c>
      <x:c r="F900" t="n">
        <x:f>MIN($B$5,D900)*$B$7+MAX($B$5-D900,0)*$B$9-$B$5*$B$8</x:f>
        <x:v>94.19999999999993</x:v>
      </x:c>
      <x:c r="G900" t="n">
        <x:f>MIN($B$6,D900)*$B$7+MAX($B$6-D900,0)*$B$9-$B$6*$B$8</x:f>
        <x:v>39.19999999999993</x:v>
      </x:c>
      <x:c r="H900" t="n">
        <x:f>MAX(D900-$B$5,0)</x:f>
        <x:v>0</x:v>
      </x:c>
      <x:c r="I900" t="n">
        <x:f>MAX($B$5-D900,0)</x:f>
        <x:v>108</x:v>
      </x:c>
    </x:row>
    <x:row r="901">
      <x:c r="A901" t="n">
        <x:f>889</x:f>
        <x:v>889</x:v>
      </x:c>
      <x:c r="B901" t="n">
        <x:f>RAND()</x:f>
        <x:v>0.3527200582253983</x:v>
      </x:c>
      <x:c r="C901" t="n">
        <x:f>MIN(47,INT(B901*47)+1)</x:f>
        <x:v>17</x:v>
      </x:c>
      <x:c r="D901" t="n">
        <x:f>INDEX(Datos_47_semanas!$B$4:$B$50,C901)</x:f>
        <x:v>154</x:v>
      </x:c>
      <x:c r="E901" t="n">
        <x:f>MIN($B$4,D901)*$B$7+MAX($B$4-D901,0)*$B$9-$B$4*$B$8</x:f>
        <x:v>70.39999999999998</x:v>
      </x:c>
      <x:c r="F901" t="n">
        <x:f>MIN($B$5,D901)*$B$7+MAX($B$5-D901,0)*$B$9-$B$5*$B$8</x:f>
        <x:v>42.89999999999998</x:v>
      </x:c>
      <x:c r="G901" t="n">
        <x:f>MIN($B$6,D901)*$B$7+MAX($B$6-D901,0)*$B$9-$B$6*$B$8</x:f>
        <x:v>-12.100000000000023</x:v>
      </x:c>
      <x:c r="H901" t="n">
        <x:f>MAX(D901-$B$5,0)</x:f>
        <x:v>0</x:v>
      </x:c>
      <x:c r="I901" t="n">
        <x:f>MAX($B$5-D901,0)</x:f>
        <x:v>146</x:v>
      </x:c>
    </x:row>
    <x:row r="902">
      <x:c r="A902" t="n">
        <x:f>890</x:f>
        <x:v>890</x:v>
      </x:c>
      <x:c r="B902" t="n">
        <x:f>RAND()</x:f>
        <x:v>0.632092972615463</x:v>
      </x:c>
      <x:c r="C902" t="n">
        <x:f>MIN(47,INT(B902*47)+1)</x:f>
        <x:v>30</x:v>
      </x:c>
      <x:c r="D902" t="n">
        <x:f>INDEX(Datos_47_semanas!$B$4:$B$50,C902)</x:f>
        <x:v>345</x:v>
      </x:c>
      <x:c r="E902" t="n">
        <x:f>MIN($B$4,D902)*$B$7+MAX($B$4-D902,0)*$B$9-$B$4*$B$8</x:f>
        <x:v>200</x:v>
      </x:c>
      <x:c r="F902" t="n">
        <x:f>MIN($B$5,D902)*$B$7+MAX($B$5-D902,0)*$B$9-$B$5*$B$8</x:f>
        <x:v>240</x:v>
      </x:c>
      <x:c r="G902" t="n">
        <x:f>MIN($B$6,D902)*$B$7+MAX($B$6-D902,0)*$B$9-$B$6*$B$8</x:f>
        <x:v>245.75</x:v>
      </x:c>
      <x:c r="H902" t="n">
        <x:f>MAX(D902-$B$5,0)</x:f>
        <x:v>45</x:v>
      </x:c>
      <x:c r="I902" t="n">
        <x:f>MAX($B$5-D902,0)</x:f>
        <x:v>0</x:v>
      </x:c>
    </x:row>
    <x:row r="903">
      <x:c r="A903" t="n">
        <x:f>891</x:f>
        <x:v>891</x:v>
      </x:c>
      <x:c r="B903" t="n">
        <x:f>RAND()</x:f>
        <x:v>0.7250986304431936</x:v>
      </x:c>
      <x:c r="C903" t="n">
        <x:f>MIN(47,INT(B903*47)+1)</x:f>
        <x:v>35</x:v>
      </x:c>
      <x:c r="D903" t="n">
        <x:f>INDEX(Datos_47_semanas!$B$4:$B$50,C903)</x:f>
        <x:v>192</x:v>
      </x:c>
      <x:c r="E903" t="n">
        <x:f>MIN($B$4,D903)*$B$7+MAX($B$4-D903,0)*$B$9-$B$4*$B$8</x:f>
        <x:v>121.69999999999993</x:v>
      </x:c>
      <x:c r="F903" t="n">
        <x:f>MIN($B$5,D903)*$B$7+MAX($B$5-D903,0)*$B$9-$B$5*$B$8</x:f>
        <x:v>94.19999999999993</x:v>
      </x:c>
      <x:c r="G903" t="n">
        <x:f>MIN($B$6,D903)*$B$7+MAX($B$6-D903,0)*$B$9-$B$6*$B$8</x:f>
        <x:v>39.19999999999993</x:v>
      </x:c>
      <x:c r="H903" t="n">
        <x:f>MAX(D903-$B$5,0)</x:f>
        <x:v>0</x:v>
      </x:c>
      <x:c r="I903" t="n">
        <x:f>MAX($B$5-D903,0)</x:f>
        <x:v>108</x:v>
      </x:c>
    </x:row>
    <x:row r="904">
      <x:c r="A904" t="n">
        <x:f>892</x:f>
        <x:v>892</x:v>
      </x:c>
      <x:c r="B904" t="n">
        <x:f>RAND()</x:f>
        <x:v>0.46465596558763567</x:v>
      </x:c>
      <x:c r="C904" t="n">
        <x:f>MIN(47,INT(B904*47)+1)</x:f>
        <x:v>22</x:v>
      </x:c>
      <x:c r="D904" t="n">
        <x:f>INDEX(Datos_47_semanas!$B$4:$B$50,C904)</x:f>
        <x:v>171</x:v>
      </x:c>
      <x:c r="E904" t="n">
        <x:f>MIN($B$4,D904)*$B$7+MAX($B$4-D904,0)*$B$9-$B$4*$B$8</x:f>
        <x:v>93.34999999999997</x:v>
      </x:c>
      <x:c r="F904" t="n">
        <x:f>MIN($B$5,D904)*$B$7+MAX($B$5-D904,0)*$B$9-$B$5*$B$8</x:f>
        <x:v>65.84999999999997</x:v>
      </x:c>
      <x:c r="G904" t="n">
        <x:f>MIN($B$6,D904)*$B$7+MAX($B$6-D904,0)*$B$9-$B$6*$B$8</x:f>
        <x:v>10.849999999999966</x:v>
      </x:c>
      <x:c r="H904" t="n">
        <x:f>MAX(D904-$B$5,0)</x:f>
        <x:v>0</x:v>
      </x:c>
      <x:c r="I904" t="n">
        <x:f>MAX($B$5-D904,0)</x:f>
        <x:v>129</x:v>
      </x:c>
    </x:row>
    <x:row r="905">
      <x:c r="A905" t="n">
        <x:f>893</x:f>
        <x:v>893</x:v>
      </x:c>
      <x:c r="B905" t="n">
        <x:f>RAND()</x:f>
        <x:v>0.3570924101003127</x:v>
      </x:c>
      <x:c r="C905" t="n">
        <x:f>MIN(47,INT(B905*47)+1)</x:f>
        <x:v>17</x:v>
      </x:c>
      <x:c r="D905" t="n">
        <x:f>INDEX(Datos_47_semanas!$B$4:$B$50,C905)</x:f>
        <x:v>154</x:v>
      </x:c>
      <x:c r="E905" t="n">
        <x:f>MIN($B$4,D905)*$B$7+MAX($B$4-D905,0)*$B$9-$B$4*$B$8</x:f>
        <x:v>70.39999999999998</x:v>
      </x:c>
      <x:c r="F905" t="n">
        <x:f>MIN($B$5,D905)*$B$7+MAX($B$5-D905,0)*$B$9-$B$5*$B$8</x:f>
        <x:v>42.89999999999998</x:v>
      </x:c>
      <x:c r="G905" t="n">
        <x:f>MIN($B$6,D905)*$B$7+MAX($B$6-D905,0)*$B$9-$B$6*$B$8</x:f>
        <x:v>-12.100000000000023</x:v>
      </x:c>
      <x:c r="H905" t="n">
        <x:f>MAX(D905-$B$5,0)</x:f>
        <x:v>0</x:v>
      </x:c>
      <x:c r="I905" t="n">
        <x:f>MAX($B$5-D905,0)</x:f>
        <x:v>146</x:v>
      </x:c>
    </x:row>
    <x:row r="906">
      <x:c r="A906" t="n">
        <x:f>894</x:f>
        <x:v>894</x:v>
      </x:c>
      <x:c r="B906" t="n">
        <x:f>RAND()</x:f>
        <x:v>0.8372057415796297</x:v>
      </x:c>
      <x:c r="C906" t="n">
        <x:f>MIN(47,INT(B906*47)+1)</x:f>
        <x:v>40</x:v>
      </x:c>
      <x:c r="D906" t="n">
        <x:f>INDEX(Datos_47_semanas!$B$4:$B$50,C906)</x:f>
        <x:v>278</x:v>
      </x:c>
      <x:c r="E906" t="n">
        <x:f>MIN($B$4,D906)*$B$7+MAX($B$4-D906,0)*$B$9-$B$4*$B$8</x:f>
        <x:v>200</x:v>
      </x:c>
      <x:c r="F906" t="n">
        <x:f>MIN($B$5,D906)*$B$7+MAX($B$5-D906,0)*$B$9-$B$5*$B$8</x:f>
        <x:v>210.3</x:v>
      </x:c>
      <x:c r="G906" t="n">
        <x:f>MIN($B$6,D906)*$B$7+MAX($B$6-D906,0)*$B$9-$B$6*$B$8</x:f>
        <x:v>155.3</x:v>
      </x:c>
      <x:c r="H906" t="n">
        <x:f>MAX(D906-$B$5,0)</x:f>
        <x:v>0</x:v>
      </x:c>
      <x:c r="I906" t="n">
        <x:f>MAX($B$5-D906,0)</x:f>
        <x:v>22</x:v>
      </x:c>
    </x:row>
    <x:row r="907">
      <x:c r="A907" t="n">
        <x:f>895</x:f>
        <x:v>895</x:v>
      </x:c>
      <x:c r="B907" t="n">
        <x:f>RAND()</x:f>
        <x:v>0.7343086352801012</x:v>
      </x:c>
      <x:c r="C907" t="n">
        <x:f>MIN(47,INT(B907*47)+1)</x:f>
        <x:v>35</x:v>
      </x:c>
      <x:c r="D907" t="n">
        <x:f>INDEX(Datos_47_semanas!$B$4:$B$50,C907)</x:f>
        <x:v>192</x:v>
      </x:c>
      <x:c r="E907" t="n">
        <x:f>MIN($B$4,D907)*$B$7+MAX($B$4-D907,0)*$B$9-$B$4*$B$8</x:f>
        <x:v>121.69999999999993</x:v>
      </x:c>
      <x:c r="F907" t="n">
        <x:f>MIN($B$5,D907)*$B$7+MAX($B$5-D907,0)*$B$9-$B$5*$B$8</x:f>
        <x:v>94.19999999999993</x:v>
      </x:c>
      <x:c r="G907" t="n">
        <x:f>MIN($B$6,D907)*$B$7+MAX($B$6-D907,0)*$B$9-$B$6*$B$8</x:f>
        <x:v>39.19999999999993</x:v>
      </x:c>
      <x:c r="H907" t="n">
        <x:f>MAX(D907-$B$5,0)</x:f>
        <x:v>0</x:v>
      </x:c>
      <x:c r="I907" t="n">
        <x:f>MAX($B$5-D907,0)</x:f>
        <x:v>108</x:v>
      </x:c>
    </x:row>
    <x:row r="908">
      <x:c r="A908" t="n">
        <x:f>896</x:f>
        <x:v>896</x:v>
      </x:c>
      <x:c r="B908" t="n">
        <x:f>RAND()</x:f>
        <x:v>0.6580606719757991</x:v>
      </x:c>
      <x:c r="C908" t="n">
        <x:f>MIN(47,INT(B908*47)+1)</x:f>
        <x:v>31</x:v>
      </x:c>
      <x:c r="D908" t="n">
        <x:f>INDEX(Datos_47_semanas!$B$4:$B$50,C908)</x:f>
        <x:v>583</x:v>
      </x:c>
      <x:c r="E908" t="n">
        <x:f>MIN($B$4,D908)*$B$7+MAX($B$4-D908,0)*$B$9-$B$4*$B$8</x:f>
        <x:v>200</x:v>
      </x:c>
      <x:c r="F908" t="n">
        <x:f>MIN($B$5,D908)*$B$7+MAX($B$5-D908,0)*$B$9-$B$5*$B$8</x:f>
        <x:v>240</x:v>
      </x:c>
      <x:c r="G908" t="n">
        <x:f>MIN($B$6,D908)*$B$7+MAX($B$6-D908,0)*$B$9-$B$6*$B$8</x:f>
        <x:v>320</x:v>
      </x:c>
      <x:c r="H908" t="n">
        <x:f>MAX(D908-$B$5,0)</x:f>
        <x:v>283</x:v>
      </x:c>
      <x:c r="I908" t="n">
        <x:f>MAX($B$5-D908,0)</x:f>
        <x:v>0</x:v>
      </x:c>
    </x:row>
    <x:row r="909">
      <x:c r="A909" t="n">
        <x:f>897</x:f>
        <x:v>897</x:v>
      </x:c>
      <x:c r="B909" t="n">
        <x:f>RAND()</x:f>
        <x:v>0.33319259393219836</x:v>
      </x:c>
      <x:c r="C909" t="n">
        <x:f>MIN(47,INT(B909*47)+1)</x:f>
        <x:v>16</x:v>
      </x:c>
      <x:c r="D909" t="n">
        <x:f>INDEX(Datos_47_semanas!$B$4:$B$50,C909)</x:f>
        <x:v>318</x:v>
      </x:c>
      <x:c r="E909" t="n">
        <x:f>MIN($B$4,D909)*$B$7+MAX($B$4-D909,0)*$B$9-$B$4*$B$8</x:f>
        <x:v>200</x:v>
      </x:c>
      <x:c r="F909" t="n">
        <x:f>MIN($B$5,D909)*$B$7+MAX($B$5-D909,0)*$B$9-$B$5*$B$8</x:f>
        <x:v>240</x:v>
      </x:c>
      <x:c r="G909" t="n">
        <x:f>MIN($B$6,D909)*$B$7+MAX($B$6-D909,0)*$B$9-$B$6*$B$8</x:f>
        <x:v>209.29999999999995</x:v>
      </x:c>
      <x:c r="H909" t="n">
        <x:f>MAX(D909-$B$5,0)</x:f>
        <x:v>18</x:v>
      </x:c>
      <x:c r="I909" t="n">
        <x:f>MAX($B$5-D909,0)</x:f>
        <x:v>0</x:v>
      </x:c>
    </x:row>
    <x:row r="910">
      <x:c r="A910" t="n">
        <x:f>898</x:f>
        <x:v>898</x:v>
      </x:c>
      <x:c r="B910" t="n">
        <x:f>RAND()</x:f>
        <x:v>0.6313934359128136</x:v>
      </x:c>
      <x:c r="C910" t="n">
        <x:f>MIN(47,INT(B910*47)+1)</x:f>
        <x:v>30</x:v>
      </x:c>
      <x:c r="D910" t="n">
        <x:f>INDEX(Datos_47_semanas!$B$4:$B$50,C910)</x:f>
        <x:v>345</x:v>
      </x:c>
      <x:c r="E910" t="n">
        <x:f>MIN($B$4,D910)*$B$7+MAX($B$4-D910,0)*$B$9-$B$4*$B$8</x:f>
        <x:v>200</x:v>
      </x:c>
      <x:c r="F910" t="n">
        <x:f>MIN($B$5,D910)*$B$7+MAX($B$5-D910,0)*$B$9-$B$5*$B$8</x:f>
        <x:v>240</x:v>
      </x:c>
      <x:c r="G910" t="n">
        <x:f>MIN($B$6,D910)*$B$7+MAX($B$6-D910,0)*$B$9-$B$6*$B$8</x:f>
        <x:v>245.75</x:v>
      </x:c>
      <x:c r="H910" t="n">
        <x:f>MAX(D910-$B$5,0)</x:f>
        <x:v>45</x:v>
      </x:c>
      <x:c r="I910" t="n">
        <x:f>MAX($B$5-D910,0)</x:f>
        <x:v>0</x:v>
      </x:c>
    </x:row>
    <x:row r="911">
      <x:c r="A911" t="n">
        <x:f>899</x:f>
        <x:v>899</x:v>
      </x:c>
      <x:c r="B911" t="n">
        <x:f>RAND()</x:f>
        <x:v>0.9015521974539495</x:v>
      </x:c>
      <x:c r="C911" t="n">
        <x:f>MIN(47,INT(B911*47)+1)</x:f>
        <x:v>43</x:v>
      </x:c>
      <x:c r="D911" t="n">
        <x:f>INDEX(Datos_47_semanas!$B$4:$B$50,C911)</x:f>
        <x:v>234</x:v>
      </x:c>
      <x:c r="E911" t="n">
        <x:f>MIN($B$4,D911)*$B$7+MAX($B$4-D911,0)*$B$9-$B$4*$B$8</x:f>
        <x:v>178.39999999999998</x:v>
      </x:c>
      <x:c r="F911" t="n">
        <x:f>MIN($B$5,D911)*$B$7+MAX($B$5-D911,0)*$B$9-$B$5*$B$8</x:f>
        <x:v>150.89999999999998</x:v>
      </x:c>
      <x:c r="G911" t="n">
        <x:f>MIN($B$6,D911)*$B$7+MAX($B$6-D911,0)*$B$9-$B$6*$B$8</x:f>
        <x:v>95.89999999999998</x:v>
      </x:c>
      <x:c r="H911" t="n">
        <x:f>MAX(D911-$B$5,0)</x:f>
        <x:v>0</x:v>
      </x:c>
      <x:c r="I911" t="n">
        <x:f>MAX($B$5-D911,0)</x:f>
        <x:v>66</x:v>
      </x:c>
    </x:row>
    <x:row r="912">
      <x:c r="A912" t="n">
        <x:f>900</x:f>
        <x:v>900</x:v>
      </x:c>
      <x:c r="B912" t="n">
        <x:f>RAND()</x:f>
        <x:v>0.2984397761065848</x:v>
      </x:c>
      <x:c r="C912" t="n">
        <x:f>MIN(47,INT(B912*47)+1)</x:f>
        <x:v>15</x:v>
      </x:c>
      <x:c r="D912" t="n">
        <x:f>INDEX(Datos_47_semanas!$B$4:$B$50,C912)</x:f>
        <x:v>275</x:v>
      </x:c>
      <x:c r="E912" t="n">
        <x:f>MIN($B$4,D912)*$B$7+MAX($B$4-D912,0)*$B$9-$B$4*$B$8</x:f>
        <x:v>200</x:v>
      </x:c>
      <x:c r="F912" t="n">
        <x:f>MIN($B$5,D912)*$B$7+MAX($B$5-D912,0)*$B$9-$B$5*$B$8</x:f>
        <x:v>206.25</x:v>
      </x:c>
      <x:c r="G912" t="n">
        <x:f>MIN($B$6,D912)*$B$7+MAX($B$6-D912,0)*$B$9-$B$6*$B$8</x:f>
        <x:v>151.25</x:v>
      </x:c>
      <x:c r="H912" t="n">
        <x:f>MAX(D912-$B$5,0)</x:f>
        <x:v>0</x:v>
      </x:c>
      <x:c r="I912" t="n">
        <x:f>MAX($B$5-D912,0)</x:f>
        <x:v>25</x:v>
      </x:c>
    </x:row>
    <x:row r="913">
      <x:c r="A913" t="n">
        <x:f>901</x:f>
        <x:v>901</x:v>
      </x:c>
      <x:c r="B913" t="n">
        <x:f>RAND()</x:f>
        <x:v>0.5680879708807473</x:v>
      </x:c>
      <x:c r="C913" t="n">
        <x:f>MIN(47,INT(B913*47)+1)</x:f>
        <x:v>27</x:v>
      </x:c>
      <x:c r="D913" t="n">
        <x:f>INDEX(Datos_47_semanas!$B$4:$B$50,C913)</x:f>
        <x:v>293</x:v>
      </x:c>
      <x:c r="E913" t="n">
        <x:f>MIN($B$4,D913)*$B$7+MAX($B$4-D913,0)*$B$9-$B$4*$B$8</x:f>
        <x:v>200</x:v>
      </x:c>
      <x:c r="F913" t="n">
        <x:f>MIN($B$5,D913)*$B$7+MAX($B$5-D913,0)*$B$9-$B$5*$B$8</x:f>
        <x:v>230.55</x:v>
      </x:c>
      <x:c r="G913" t="n">
        <x:f>MIN($B$6,D913)*$B$7+MAX($B$6-D913,0)*$B$9-$B$6*$B$8</x:f>
        <x:v>175.54999999999995</x:v>
      </x:c>
      <x:c r="H913" t="n">
        <x:f>MAX(D913-$B$5,0)</x:f>
        <x:v>0</x:v>
      </x:c>
      <x:c r="I913" t="n">
        <x:f>MAX($B$5-D913,0)</x:f>
        <x:v>7</x:v>
      </x:c>
    </x:row>
    <x:row r="914">
      <x:c r="A914" t="n">
        <x:f>902</x:f>
        <x:v>902</x:v>
      </x:c>
      <x:c r="B914" t="n">
        <x:f>RAND()</x:f>
        <x:v>0.6932186133665417</x:v>
      </x:c>
      <x:c r="C914" t="n">
        <x:f>MIN(47,INT(B914*47)+1)</x:f>
        <x:v>33</x:v>
      </x:c>
      <x:c r="D914" t="n">
        <x:f>INDEX(Datos_47_semanas!$B$4:$B$50,C914)</x:f>
        <x:v>373</x:v>
      </x:c>
      <x:c r="E914" t="n">
        <x:f>MIN($B$4,D914)*$B$7+MAX($B$4-D914,0)*$B$9-$B$4*$B$8</x:f>
        <x:v>200</x:v>
      </x:c>
      <x:c r="F914" t="n">
        <x:f>MIN($B$5,D914)*$B$7+MAX($B$5-D914,0)*$B$9-$B$5*$B$8</x:f>
        <x:v>240</x:v>
      </x:c>
      <x:c r="G914" t="n">
        <x:f>MIN($B$6,D914)*$B$7+MAX($B$6-D914,0)*$B$9-$B$6*$B$8</x:f>
        <x:v>283.54999999999995</x:v>
      </x:c>
      <x:c r="H914" t="n">
        <x:f>MAX(D914-$B$5,0)</x:f>
        <x:v>73</x:v>
      </x:c>
      <x:c r="I914" t="n">
        <x:f>MAX($B$5-D914,0)</x:f>
        <x:v>0</x:v>
      </x:c>
    </x:row>
    <x:row r="915">
      <x:c r="A915" t="n">
        <x:f>903</x:f>
        <x:v>903</x:v>
      </x:c>
      <x:c r="B915" t="n">
        <x:f>RAND()</x:f>
        <x:v>0.36367539174799257</x:v>
      </x:c>
      <x:c r="C915" t="n">
        <x:f>MIN(47,INT(B915*47)+1)</x:f>
        <x:v>18</x:v>
      </x:c>
      <x:c r="D915" t="n">
        <x:f>INDEX(Datos_47_semanas!$B$4:$B$50,C915)</x:f>
        <x:v>219</x:v>
      </x:c>
      <x:c r="E915" t="n">
        <x:f>MIN($B$4,D915)*$B$7+MAX($B$4-D915,0)*$B$9-$B$4*$B$8</x:f>
        <x:v>158.14999999999998</x:v>
      </x:c>
      <x:c r="F915" t="n">
        <x:f>MIN($B$5,D915)*$B$7+MAX($B$5-D915,0)*$B$9-$B$5*$B$8</x:f>
        <x:v>130.64999999999998</x:v>
      </x:c>
      <x:c r="G915" t="n">
        <x:f>MIN($B$6,D915)*$B$7+MAX($B$6-D915,0)*$B$9-$B$6*$B$8</x:f>
        <x:v>75.64999999999998</x:v>
      </x:c>
      <x:c r="H915" t="n">
        <x:f>MAX(D915-$B$5,0)</x:f>
        <x:v>0</x:v>
      </x:c>
      <x:c r="I915" t="n">
        <x:f>MAX($B$5-D915,0)</x:f>
        <x:v>81</x:v>
      </x:c>
    </x:row>
    <x:row r="916">
      <x:c r="A916" t="n">
        <x:f>904</x:f>
        <x:v>904</x:v>
      </x:c>
      <x:c r="B916" t="n">
        <x:f>RAND()</x:f>
        <x:v>0.5187114165869695</x:v>
      </x:c>
      <x:c r="C916" t="n">
        <x:f>MIN(47,INT(B916*47)+1)</x:f>
        <x:v>25</x:v>
      </x:c>
      <x:c r="D916" t="n">
        <x:f>INDEX(Datos_47_semanas!$B$4:$B$50,C916)</x:f>
        <x:v>218</x:v>
      </x:c>
      <x:c r="E916" t="n">
        <x:f>MIN($B$4,D916)*$B$7+MAX($B$4-D916,0)*$B$9-$B$4*$B$8</x:f>
        <x:v>156.8</x:v>
      </x:c>
      <x:c r="F916" t="n">
        <x:f>MIN($B$5,D916)*$B$7+MAX($B$5-D916,0)*$B$9-$B$5*$B$8</x:f>
        <x:v>129.3</x:v>
      </x:c>
      <x:c r="G916" t="n">
        <x:f>MIN($B$6,D916)*$B$7+MAX($B$6-D916,0)*$B$9-$B$6*$B$8</x:f>
        <x:v>74.30000000000001</x:v>
      </x:c>
      <x:c r="H916" t="n">
        <x:f>MAX(D916-$B$5,0)</x:f>
        <x:v>0</x:v>
      </x:c>
      <x:c r="I916" t="n">
        <x:f>MAX($B$5-D916,0)</x:f>
        <x:v>82</x:v>
      </x:c>
    </x:row>
    <x:row r="917">
      <x:c r="A917" t="n">
        <x:f>905</x:f>
        <x:v>905</x:v>
      </x:c>
      <x:c r="B917" t="n">
        <x:f>RAND()</x:f>
        <x:v>0.8520840538810844</x:v>
      </x:c>
      <x:c r="C917" t="n">
        <x:f>MIN(47,INT(B917*47)+1)</x:f>
        <x:v>41</x:v>
      </x:c>
      <x:c r="D917" t="n">
        <x:f>INDEX(Datos_47_semanas!$B$4:$B$50,C917)</x:f>
        <x:v>383</x:v>
      </x:c>
      <x:c r="E917" t="n">
        <x:f>MIN($B$4,D917)*$B$7+MAX($B$4-D917,0)*$B$9-$B$4*$B$8</x:f>
        <x:v>200</x:v>
      </x:c>
      <x:c r="F917" t="n">
        <x:f>MIN($B$5,D917)*$B$7+MAX($B$5-D917,0)*$B$9-$B$5*$B$8</x:f>
        <x:v>240</x:v>
      </x:c>
      <x:c r="G917" t="n">
        <x:f>MIN($B$6,D917)*$B$7+MAX($B$6-D917,0)*$B$9-$B$6*$B$8</x:f>
        <x:v>297.04999999999995</x:v>
      </x:c>
      <x:c r="H917" t="n">
        <x:f>MAX(D917-$B$5,0)</x:f>
        <x:v>83</x:v>
      </x:c>
      <x:c r="I917" t="n">
        <x:f>MAX($B$5-D917,0)</x:f>
        <x:v>0</x:v>
      </x:c>
    </x:row>
    <x:row r="918">
      <x:c r="A918" t="n">
        <x:f>906</x:f>
        <x:v>906</x:v>
      </x:c>
      <x:c r="B918" t="n">
        <x:f>RAND()</x:f>
        <x:v>0.08159063601199146</x:v>
      </x:c>
      <x:c r="C918" t="n">
        <x:f>MIN(47,INT(B918*47)+1)</x:f>
        <x:v>4</x:v>
      </x:c>
      <x:c r="D918" t="n">
        <x:f>INDEX(Datos_47_semanas!$B$4:$B$50,C918)</x:f>
        <x:v>161</x:v>
      </x:c>
      <x:c r="E918" t="n">
        <x:f>MIN($B$4,D918)*$B$7+MAX($B$4-D918,0)*$B$9-$B$4*$B$8</x:f>
        <x:v>79.84999999999997</x:v>
      </x:c>
      <x:c r="F918" t="n">
        <x:f>MIN($B$5,D918)*$B$7+MAX($B$5-D918,0)*$B$9-$B$5*$B$8</x:f>
        <x:v>52.349999999999966</x:v>
      </x:c>
      <x:c r="G918" t="n">
        <x:f>MIN($B$6,D918)*$B$7+MAX($B$6-D918,0)*$B$9-$B$6*$B$8</x:f>
        <x:v>-2.650000000000034</x:v>
      </x:c>
      <x:c r="H918" t="n">
        <x:f>MAX(D918-$B$5,0)</x:f>
        <x:v>0</x:v>
      </x:c>
      <x:c r="I918" t="n">
        <x:f>MAX($B$5-D918,0)</x:f>
        <x:v>139</x:v>
      </x:c>
    </x:row>
    <x:row r="919">
      <x:c r="A919" t="n">
        <x:f>907</x:f>
        <x:v>907</x:v>
      </x:c>
      <x:c r="B919" t="n">
        <x:f>RAND()</x:f>
        <x:v>0.6144067200432147</x:v>
      </x:c>
      <x:c r="C919" t="n">
        <x:f>MIN(47,INT(B919*47)+1)</x:f>
        <x:v>29</x:v>
      </x:c>
      <x:c r="D919" t="n">
        <x:f>INDEX(Datos_47_semanas!$B$4:$B$50,C919)</x:f>
        <x:v>415</x:v>
      </x:c>
      <x:c r="E919" t="n">
        <x:f>MIN($B$4,D919)*$B$7+MAX($B$4-D919,0)*$B$9-$B$4*$B$8</x:f>
        <x:v>200</x:v>
      </x:c>
      <x:c r="F919" t="n">
        <x:f>MIN($B$5,D919)*$B$7+MAX($B$5-D919,0)*$B$9-$B$5*$B$8</x:f>
        <x:v>240</x:v>
      </x:c>
      <x:c r="G919" t="n">
        <x:f>MIN($B$6,D919)*$B$7+MAX($B$6-D919,0)*$B$9-$B$6*$B$8</x:f>
        <x:v>320</x:v>
      </x:c>
      <x:c r="H919" t="n">
        <x:f>MAX(D919-$B$5,0)</x:f>
        <x:v>115</x:v>
      </x:c>
      <x:c r="I919" t="n">
        <x:f>MAX($B$5-D919,0)</x:f>
        <x:v>0</x:v>
      </x:c>
    </x:row>
    <x:row r="920">
      <x:c r="A920" t="n">
        <x:f>908</x:f>
        <x:v>908</x:v>
      </x:c>
      <x:c r="B920" t="n">
        <x:f>RAND()</x:f>
        <x:v>0.9171227253389421</x:v>
      </x:c>
      <x:c r="C920" t="n">
        <x:f>MIN(47,INT(B920*47)+1)</x:f>
        <x:v>44</x:v>
      </x:c>
      <x:c r="D920" t="n">
        <x:f>INDEX(Datos_47_semanas!$B$4:$B$50,C920)</x:f>
        <x:v>223</x:v>
      </x:c>
      <x:c r="E920" t="n">
        <x:f>MIN($B$4,D920)*$B$7+MAX($B$4-D920,0)*$B$9-$B$4*$B$8</x:f>
        <x:v>163.55</x:v>
      </x:c>
      <x:c r="F920" t="n">
        <x:f>MIN($B$5,D920)*$B$7+MAX($B$5-D920,0)*$B$9-$B$5*$B$8</x:f>
        <x:v>136.05</x:v>
      </x:c>
      <x:c r="G920" t="n">
        <x:f>MIN($B$6,D920)*$B$7+MAX($B$6-D920,0)*$B$9-$B$6*$B$8</x:f>
        <x:v>81.05000000000001</x:v>
      </x:c>
      <x:c r="H920" t="n">
        <x:f>MAX(D920-$B$5,0)</x:f>
        <x:v>0</x:v>
      </x:c>
      <x:c r="I920" t="n">
        <x:f>MAX($B$5-D920,0)</x:f>
        <x:v>77</x:v>
      </x:c>
    </x:row>
    <x:row r="921">
      <x:c r="A921" t="n">
        <x:f>909</x:f>
        <x:v>909</x:v>
      </x:c>
      <x:c r="B921" t="n">
        <x:f>RAND()</x:f>
        <x:v>0.1804044177937586</x:v>
      </x:c>
      <x:c r="C921" t="n">
        <x:f>MIN(47,INT(B921*47)+1)</x:f>
        <x:v>9</x:v>
      </x:c>
      <x:c r="D921" t="n">
        <x:f>INDEX(Datos_47_semanas!$B$4:$B$50,C921)</x:f>
        <x:v>155</x:v>
      </x:c>
      <x:c r="E921" t="n">
        <x:f>MIN($B$4,D921)*$B$7+MAX($B$4-D921,0)*$B$9-$B$4*$B$8</x:f>
        <x:v>71.75</x:v>
      </x:c>
      <x:c r="F921" t="n">
        <x:f>MIN($B$5,D921)*$B$7+MAX($B$5-D921,0)*$B$9-$B$5*$B$8</x:f>
        <x:v>44.25</x:v>
      </x:c>
      <x:c r="G921" t="n">
        <x:f>MIN($B$6,D921)*$B$7+MAX($B$6-D921,0)*$B$9-$B$6*$B$8</x:f>
        <x:v>-10.75</x:v>
      </x:c>
      <x:c r="H921" t="n">
        <x:f>MAX(D921-$B$5,0)</x:f>
        <x:v>0</x:v>
      </x:c>
      <x:c r="I921" t="n">
        <x:f>MAX($B$5-D921,0)</x:f>
        <x:v>145</x:v>
      </x:c>
    </x:row>
    <x:row r="922">
      <x:c r="A922" t="n">
        <x:f>910</x:f>
        <x:v>910</x:v>
      </x:c>
      <x:c r="B922" t="n">
        <x:f>RAND()</x:f>
        <x:v>0.5481498857015964</x:v>
      </x:c>
      <x:c r="C922" t="n">
        <x:f>MIN(47,INT(B922*47)+1)</x:f>
        <x:v>26</x:v>
      </x:c>
      <x:c r="D922" t="n">
        <x:f>INDEX(Datos_47_semanas!$B$4:$B$50,C922)</x:f>
        <x:v>183</x:v>
      </x:c>
      <x:c r="E922" t="n">
        <x:f>MIN($B$4,D922)*$B$7+MAX($B$4-D922,0)*$B$9-$B$4*$B$8</x:f>
        <x:v>109.55000000000001</x:v>
      </x:c>
      <x:c r="F922" t="n">
        <x:f>MIN($B$5,D922)*$B$7+MAX($B$5-D922,0)*$B$9-$B$5*$B$8</x:f>
        <x:v>82.05000000000001</x:v>
      </x:c>
      <x:c r="G922" t="n">
        <x:f>MIN($B$6,D922)*$B$7+MAX($B$6-D922,0)*$B$9-$B$6*$B$8</x:f>
        <x:v>27.049999999999955</x:v>
      </x:c>
      <x:c r="H922" t="n">
        <x:f>MAX(D922-$B$5,0)</x:f>
        <x:v>0</x:v>
      </x:c>
      <x:c r="I922" t="n">
        <x:f>MAX($B$5-D922,0)</x:f>
        <x:v>117</x:v>
      </x:c>
    </x:row>
    <x:row r="923">
      <x:c r="A923" t="n">
        <x:f>911</x:f>
        <x:v>911</x:v>
      </x:c>
      <x:c r="B923" t="n">
        <x:f>RAND()</x:f>
        <x:v>0.9615158112656361</x:v>
      </x:c>
      <x:c r="C923" t="n">
        <x:f>MIN(47,INT(B923*47)+1)</x:f>
        <x:v>46</x:v>
      </x:c>
      <x:c r="D923" t="n">
        <x:f>INDEX(Datos_47_semanas!$B$4:$B$50,C923)</x:f>
        <x:v>449</x:v>
      </x:c>
      <x:c r="E923" t="n">
        <x:f>MIN($B$4,D923)*$B$7+MAX($B$4-D923,0)*$B$9-$B$4*$B$8</x:f>
        <x:v>200</x:v>
      </x:c>
      <x:c r="F923" t="n">
        <x:f>MIN($B$5,D923)*$B$7+MAX($B$5-D923,0)*$B$9-$B$5*$B$8</x:f>
        <x:v>240</x:v>
      </x:c>
      <x:c r="G923" t="n">
        <x:f>MIN($B$6,D923)*$B$7+MAX($B$6-D923,0)*$B$9-$B$6*$B$8</x:f>
        <x:v>320</x:v>
      </x:c>
      <x:c r="H923" t="n">
        <x:f>MAX(D923-$B$5,0)</x:f>
        <x:v>149</x:v>
      </x:c>
      <x:c r="I923" t="n">
        <x:f>MAX($B$5-D923,0)</x:f>
        <x:v>0</x:v>
      </x:c>
    </x:row>
    <x:row r="924">
      <x:c r="A924" t="n">
        <x:f>912</x:f>
        <x:v>912</x:v>
      </x:c>
      <x:c r="B924" t="n">
        <x:f>RAND()</x:f>
        <x:v>0.9305890172433892</x:v>
      </x:c>
      <x:c r="C924" t="n">
        <x:f>MIN(47,INT(B924*47)+1)</x:f>
        <x:v>44</x:v>
      </x:c>
      <x:c r="D924" t="n">
        <x:f>INDEX(Datos_47_semanas!$B$4:$B$50,C924)</x:f>
        <x:v>223</x:v>
      </x:c>
      <x:c r="E924" t="n">
        <x:f>MIN($B$4,D924)*$B$7+MAX($B$4-D924,0)*$B$9-$B$4*$B$8</x:f>
        <x:v>163.55</x:v>
      </x:c>
      <x:c r="F924" t="n">
        <x:f>MIN($B$5,D924)*$B$7+MAX($B$5-D924,0)*$B$9-$B$5*$B$8</x:f>
        <x:v>136.05</x:v>
      </x:c>
      <x:c r="G924" t="n">
        <x:f>MIN($B$6,D924)*$B$7+MAX($B$6-D924,0)*$B$9-$B$6*$B$8</x:f>
        <x:v>81.05000000000001</x:v>
      </x:c>
      <x:c r="H924" t="n">
        <x:f>MAX(D924-$B$5,0)</x:f>
        <x:v>0</x:v>
      </x:c>
      <x:c r="I924" t="n">
        <x:f>MAX($B$5-D924,0)</x:f>
        <x:v>77</x:v>
      </x:c>
    </x:row>
    <x:row r="925">
      <x:c r="A925" t="n">
        <x:f>913</x:f>
        <x:v>913</x:v>
      </x:c>
      <x:c r="B925" t="n">
        <x:f>RAND()</x:f>
        <x:v>0.1785977772741143</x:v>
      </x:c>
      <x:c r="C925" t="n">
        <x:f>MIN(47,INT(B925*47)+1)</x:f>
        <x:v>9</x:v>
      </x:c>
      <x:c r="D925" t="n">
        <x:f>INDEX(Datos_47_semanas!$B$4:$B$50,C925)</x:f>
        <x:v>155</x:v>
      </x:c>
      <x:c r="E925" t="n">
        <x:f>MIN($B$4,D925)*$B$7+MAX($B$4-D925,0)*$B$9-$B$4*$B$8</x:f>
        <x:v>71.75</x:v>
      </x:c>
      <x:c r="F925" t="n">
        <x:f>MIN($B$5,D925)*$B$7+MAX($B$5-D925,0)*$B$9-$B$5*$B$8</x:f>
        <x:v>44.25</x:v>
      </x:c>
      <x:c r="G925" t="n">
        <x:f>MIN($B$6,D925)*$B$7+MAX($B$6-D925,0)*$B$9-$B$6*$B$8</x:f>
        <x:v>-10.75</x:v>
      </x:c>
      <x:c r="H925" t="n">
        <x:f>MAX(D925-$B$5,0)</x:f>
        <x:v>0</x:v>
      </x:c>
      <x:c r="I925" t="n">
        <x:f>MAX($B$5-D925,0)</x:f>
        <x:v>145</x:v>
      </x:c>
    </x:row>
    <x:row r="926">
      <x:c r="A926" t="n">
        <x:f>914</x:f>
        <x:v>914</x:v>
      </x:c>
      <x:c r="B926" t="n">
        <x:f>RAND()</x:f>
        <x:v>0.7063351237332964</x:v>
      </x:c>
      <x:c r="C926" t="n">
        <x:f>MIN(47,INT(B926*47)+1)</x:f>
        <x:v>34</x:v>
      </x:c>
      <x:c r="D926" t="n">
        <x:f>INDEX(Datos_47_semanas!$B$4:$B$50,C926)</x:f>
        <x:v>281</x:v>
      </x:c>
      <x:c r="E926" t="n">
        <x:f>MIN($B$4,D926)*$B$7+MAX($B$4-D926,0)*$B$9-$B$4*$B$8</x:f>
        <x:v>200</x:v>
      </x:c>
      <x:c r="F926" t="n">
        <x:f>MIN($B$5,D926)*$B$7+MAX($B$5-D926,0)*$B$9-$B$5*$B$8</x:f>
        <x:v>214.34999999999997</x:v>
      </x:c>
      <x:c r="G926" t="n">
        <x:f>MIN($B$6,D926)*$B$7+MAX($B$6-D926,0)*$B$9-$B$6*$B$8</x:f>
        <x:v>159.34999999999997</x:v>
      </x:c>
      <x:c r="H926" t="n">
        <x:f>MAX(D926-$B$5,0)</x:f>
        <x:v>0</x:v>
      </x:c>
      <x:c r="I926" t="n">
        <x:f>MAX($B$5-D926,0)</x:f>
        <x:v>19</x:v>
      </x:c>
    </x:row>
    <x:row r="927">
      <x:c r="A927" t="n">
        <x:f>915</x:f>
        <x:v>915</x:v>
      </x:c>
      <x:c r="B927" t="n">
        <x:f>RAND()</x:f>
        <x:v>0.8194126125678579</x:v>
      </x:c>
      <x:c r="C927" t="n">
        <x:f>MIN(47,INT(B927*47)+1)</x:f>
        <x:v>39</x:v>
      </x:c>
      <x:c r="D927" t="n">
        <x:f>INDEX(Datos_47_semanas!$B$4:$B$50,C927)</x:f>
        <x:v>228</x:v>
      </x:c>
      <x:c r="E927" t="n">
        <x:f>MIN($B$4,D927)*$B$7+MAX($B$4-D927,0)*$B$9-$B$4*$B$8</x:f>
        <x:v>170.3</x:v>
      </x:c>
      <x:c r="F927" t="n">
        <x:f>MIN($B$5,D927)*$B$7+MAX($B$5-D927,0)*$B$9-$B$5*$B$8</x:f>
        <x:v>142.8</x:v>
      </x:c>
      <x:c r="G927" t="n">
        <x:f>MIN($B$6,D927)*$B$7+MAX($B$6-D927,0)*$B$9-$B$6*$B$8</x:f>
        <x:v>87.80000000000001</x:v>
      </x:c>
      <x:c r="H927" t="n">
        <x:f>MAX(D927-$B$5,0)</x:f>
        <x:v>0</x:v>
      </x:c>
      <x:c r="I927" t="n">
        <x:f>MAX($B$5-D927,0)</x:f>
        <x:v>72</x:v>
      </x:c>
    </x:row>
    <x:row r="928">
      <x:c r="A928" t="n">
        <x:f>916</x:f>
        <x:v>916</x:v>
      </x:c>
      <x:c r="B928" t="n">
        <x:f>RAND()</x:f>
        <x:v>0.5794823365982283</x:v>
      </x:c>
      <x:c r="C928" t="n">
        <x:f>MIN(47,INT(B928*47)+1)</x:f>
        <x:v>28</x:v>
      </x:c>
      <x:c r="D928" t="n">
        <x:f>INDEX(Datos_47_semanas!$B$4:$B$50,C928)</x:f>
        <x:v>201</x:v>
      </x:c>
      <x:c r="E928" t="n">
        <x:f>MIN($B$4,D928)*$B$7+MAX($B$4-D928,0)*$B$9-$B$4*$B$8</x:f>
        <x:v>133.84999999999997</x:v>
      </x:c>
      <x:c r="F928" t="n">
        <x:f>MIN($B$5,D928)*$B$7+MAX($B$5-D928,0)*$B$9-$B$5*$B$8</x:f>
        <x:v>106.34999999999997</x:v>
      </x:c>
      <x:c r="G928" t="n">
        <x:f>MIN($B$6,D928)*$B$7+MAX($B$6-D928,0)*$B$9-$B$6*$B$8</x:f>
        <x:v>51.349999999999966</x:v>
      </x:c>
      <x:c r="H928" t="n">
        <x:f>MAX(D928-$B$5,0)</x:f>
        <x:v>0</x:v>
      </x:c>
      <x:c r="I928" t="n">
        <x:f>MAX($B$5-D928,0)</x:f>
        <x:v>99</x:v>
      </x:c>
    </x:row>
    <x:row r="929">
      <x:c r="A929" t="n">
        <x:f>917</x:f>
        <x:v>917</x:v>
      </x:c>
      <x:c r="B929" t="n">
        <x:f>RAND()</x:f>
        <x:v>0.9882552356566492</x:v>
      </x:c>
      <x:c r="C929" t="n">
        <x:f>MIN(47,INT(B929*47)+1)</x:f>
        <x:v>47</x:v>
      </x:c>
      <x:c r="D929" t="n">
        <x:f>INDEX(Datos_47_semanas!$B$4:$B$50,C929)</x:f>
        <x:v>256</x:v>
      </x:c>
      <x:c r="E929" t="n">
        <x:f>MIN($B$4,D929)*$B$7+MAX($B$4-D929,0)*$B$9-$B$4*$B$8</x:f>
        <x:v>200</x:v>
      </x:c>
      <x:c r="F929" t="n">
        <x:f>MIN($B$5,D929)*$B$7+MAX($B$5-D929,0)*$B$9-$B$5*$B$8</x:f>
        <x:v>180.59999999999997</x:v>
      </x:c>
      <x:c r="G929" t="n">
        <x:f>MIN($B$6,D929)*$B$7+MAX($B$6-D929,0)*$B$9-$B$6*$B$8</x:f>
        <x:v>125.59999999999997</x:v>
      </x:c>
      <x:c r="H929" t="n">
        <x:f>MAX(D929-$B$5,0)</x:f>
        <x:v>0</x:v>
      </x:c>
      <x:c r="I929" t="n">
        <x:f>MAX($B$5-D929,0)</x:f>
        <x:v>44</x:v>
      </x:c>
    </x:row>
    <x:row r="930">
      <x:c r="A930" t="n">
        <x:f>918</x:f>
        <x:v>918</x:v>
      </x:c>
      <x:c r="B930" t="n">
        <x:f>RAND()</x:f>
        <x:v>0.6065955048628469</x:v>
      </x:c>
      <x:c r="C930" t="n">
        <x:f>MIN(47,INT(B930*47)+1)</x:f>
        <x:v>29</x:v>
      </x:c>
      <x:c r="D930" t="n">
        <x:f>INDEX(Datos_47_semanas!$B$4:$B$50,C930)</x:f>
        <x:v>415</x:v>
      </x:c>
      <x:c r="E930" t="n">
        <x:f>MIN($B$4,D930)*$B$7+MAX($B$4-D930,0)*$B$9-$B$4*$B$8</x:f>
        <x:v>200</x:v>
      </x:c>
      <x:c r="F930" t="n">
        <x:f>MIN($B$5,D930)*$B$7+MAX($B$5-D930,0)*$B$9-$B$5*$B$8</x:f>
        <x:v>240</x:v>
      </x:c>
      <x:c r="G930" t="n">
        <x:f>MIN($B$6,D930)*$B$7+MAX($B$6-D930,0)*$B$9-$B$6*$B$8</x:f>
        <x:v>320</x:v>
      </x:c>
      <x:c r="H930" t="n">
        <x:f>MAX(D930-$B$5,0)</x:f>
        <x:v>115</x:v>
      </x:c>
      <x:c r="I930" t="n">
        <x:f>MAX($B$5-D930,0)</x:f>
        <x:v>0</x:v>
      </x:c>
    </x:row>
    <x:row r="931">
      <x:c r="A931" t="n">
        <x:f>919</x:f>
        <x:v>919</x:v>
      </x:c>
      <x:c r="B931" t="n">
        <x:f>RAND()</x:f>
        <x:v>0.20749352321475056</x:v>
      </x:c>
      <x:c r="C931" t="n">
        <x:f>MIN(47,INT(B931*47)+1)</x:f>
        <x:v>10</x:v>
      </x:c>
      <x:c r="D931" t="n">
        <x:f>INDEX(Datos_47_semanas!$B$4:$B$50,C931)</x:f>
        <x:v>98</x:v>
      </x:c>
      <x:c r="E931" t="n">
        <x:f>MIN($B$4,D931)*$B$7+MAX($B$4-D931,0)*$B$9-$B$4*$B$8</x:f>
        <x:v>-5.200000000000017</x:v>
      </x:c>
      <x:c r="F931" t="n">
        <x:f>MIN($B$5,D931)*$B$7+MAX($B$5-D931,0)*$B$9-$B$5*$B$8</x:f>
        <x:v>-32.70000000000002</x:v>
      </x:c>
      <x:c r="G931" t="n">
        <x:f>MIN($B$6,D931)*$B$7+MAX($B$6-D931,0)*$B$9-$B$6*$B$8</x:f>
        <x:v>-87.70000000000002</x:v>
      </x:c>
      <x:c r="H931" t="n">
        <x:f>MAX(D931-$B$5,0)</x:f>
        <x:v>0</x:v>
      </x:c>
      <x:c r="I931" t="n">
        <x:f>MAX($B$5-D931,0)</x:f>
        <x:v>202</x:v>
      </x:c>
    </x:row>
    <x:row r="932">
      <x:c r="A932" t="n">
        <x:f>920</x:f>
        <x:v>920</x:v>
      </x:c>
      <x:c r="B932" t="n">
        <x:f>RAND()</x:f>
        <x:v>0.20145116452379175</x:v>
      </x:c>
      <x:c r="C932" t="n">
        <x:f>MIN(47,INT(B932*47)+1)</x:f>
        <x:v>10</x:v>
      </x:c>
      <x:c r="D932" t="n">
        <x:f>INDEX(Datos_47_semanas!$B$4:$B$50,C932)</x:f>
        <x:v>98</x:v>
      </x:c>
      <x:c r="E932" t="n">
        <x:f>MIN($B$4,D932)*$B$7+MAX($B$4-D932,0)*$B$9-$B$4*$B$8</x:f>
        <x:v>-5.200000000000017</x:v>
      </x:c>
      <x:c r="F932" t="n">
        <x:f>MIN($B$5,D932)*$B$7+MAX($B$5-D932,0)*$B$9-$B$5*$B$8</x:f>
        <x:v>-32.70000000000002</x:v>
      </x:c>
      <x:c r="G932" t="n">
        <x:f>MIN($B$6,D932)*$B$7+MAX($B$6-D932,0)*$B$9-$B$6*$B$8</x:f>
        <x:v>-87.70000000000002</x:v>
      </x:c>
      <x:c r="H932" t="n">
        <x:f>MAX(D932-$B$5,0)</x:f>
        <x:v>0</x:v>
      </x:c>
      <x:c r="I932" t="n">
        <x:f>MAX($B$5-D932,0)</x:f>
        <x:v>202</x:v>
      </x:c>
    </x:row>
    <x:row r="933">
      <x:c r="A933" t="n">
        <x:f>921</x:f>
        <x:v>921</x:v>
      </x:c>
      <x:c r="B933" t="n">
        <x:f>RAND()</x:f>
        <x:v>0.5441115189667068</x:v>
      </x:c>
      <x:c r="C933" t="n">
        <x:f>MIN(47,INT(B933*47)+1)</x:f>
        <x:v>26</x:v>
      </x:c>
      <x:c r="D933" t="n">
        <x:f>INDEX(Datos_47_semanas!$B$4:$B$50,C933)</x:f>
        <x:v>183</x:v>
      </x:c>
      <x:c r="E933" t="n">
        <x:f>MIN($B$4,D933)*$B$7+MAX($B$4-D933,0)*$B$9-$B$4*$B$8</x:f>
        <x:v>109.55000000000001</x:v>
      </x:c>
      <x:c r="F933" t="n">
        <x:f>MIN($B$5,D933)*$B$7+MAX($B$5-D933,0)*$B$9-$B$5*$B$8</x:f>
        <x:v>82.05000000000001</x:v>
      </x:c>
      <x:c r="G933" t="n">
        <x:f>MIN($B$6,D933)*$B$7+MAX($B$6-D933,0)*$B$9-$B$6*$B$8</x:f>
        <x:v>27.049999999999955</x:v>
      </x:c>
      <x:c r="H933" t="n">
        <x:f>MAX(D933-$B$5,0)</x:f>
        <x:v>0</x:v>
      </x:c>
      <x:c r="I933" t="n">
        <x:f>MAX($B$5-D933,0)</x:f>
        <x:v>117</x:v>
      </x:c>
    </x:row>
    <x:row r="934">
      <x:c r="A934" t="n">
        <x:f>922</x:f>
        <x:v>922</x:v>
      </x:c>
      <x:c r="B934" t="n">
        <x:f>RAND()</x:f>
        <x:v>0.8643827741888508</x:v>
      </x:c>
      <x:c r="C934" t="n">
        <x:f>MIN(47,INT(B934*47)+1)</x:f>
        <x:v>41</x:v>
      </x:c>
      <x:c r="D934" t="n">
        <x:f>INDEX(Datos_47_semanas!$B$4:$B$50,C934)</x:f>
        <x:v>383</x:v>
      </x:c>
      <x:c r="E934" t="n">
        <x:f>MIN($B$4,D934)*$B$7+MAX($B$4-D934,0)*$B$9-$B$4*$B$8</x:f>
        <x:v>200</x:v>
      </x:c>
      <x:c r="F934" t="n">
        <x:f>MIN($B$5,D934)*$B$7+MAX($B$5-D934,0)*$B$9-$B$5*$B$8</x:f>
        <x:v>240</x:v>
      </x:c>
      <x:c r="G934" t="n">
        <x:f>MIN($B$6,D934)*$B$7+MAX($B$6-D934,0)*$B$9-$B$6*$B$8</x:f>
        <x:v>297.04999999999995</x:v>
      </x:c>
      <x:c r="H934" t="n">
        <x:f>MAX(D934-$B$5,0)</x:f>
        <x:v>83</x:v>
      </x:c>
      <x:c r="I934" t="n">
        <x:f>MAX($B$5-D934,0)</x:f>
        <x:v>0</x:v>
      </x:c>
    </x:row>
    <x:row r="935">
      <x:c r="A935" t="n">
        <x:f>923</x:f>
        <x:v>923</x:v>
      </x:c>
      <x:c r="B935" t="n">
        <x:f>RAND()</x:f>
        <x:v>0.4698877433941806</x:v>
      </x:c>
      <x:c r="C935" t="n">
        <x:f>MIN(47,INT(B935*47)+1)</x:f>
        <x:v>23</x:v>
      </x:c>
      <x:c r="D935" t="n">
        <x:f>INDEX(Datos_47_semanas!$B$4:$B$50,C935)</x:f>
        <x:v>565</x:v>
      </x:c>
      <x:c r="E935" t="n">
        <x:f>MIN($B$4,D935)*$B$7+MAX($B$4-D935,0)*$B$9-$B$4*$B$8</x:f>
        <x:v>200</x:v>
      </x:c>
      <x:c r="F935" t="n">
        <x:f>MIN($B$5,D935)*$B$7+MAX($B$5-D935,0)*$B$9-$B$5*$B$8</x:f>
        <x:v>240</x:v>
      </x:c>
      <x:c r="G935" t="n">
        <x:f>MIN($B$6,D935)*$B$7+MAX($B$6-D935,0)*$B$9-$B$6*$B$8</x:f>
        <x:v>320</x:v>
      </x:c>
      <x:c r="H935" t="n">
        <x:f>MAX(D935-$B$5,0)</x:f>
        <x:v>265</x:v>
      </x:c>
      <x:c r="I935" t="n">
        <x:f>MAX($B$5-D935,0)</x:f>
        <x:v>0</x:v>
      </x:c>
    </x:row>
    <x:row r="936">
      <x:c r="A936" t="n">
        <x:f>924</x:f>
        <x:v>924</x:v>
      </x:c>
      <x:c r="B936" t="n">
        <x:f>RAND()</x:f>
        <x:v>0.8656850589464137</x:v>
      </x:c>
      <x:c r="C936" t="n">
        <x:f>MIN(47,INT(B936*47)+1)</x:f>
        <x:v>41</x:v>
      </x:c>
      <x:c r="D936" t="n">
        <x:f>INDEX(Datos_47_semanas!$B$4:$B$50,C936)</x:f>
        <x:v>383</x:v>
      </x:c>
      <x:c r="E936" t="n">
        <x:f>MIN($B$4,D936)*$B$7+MAX($B$4-D936,0)*$B$9-$B$4*$B$8</x:f>
        <x:v>200</x:v>
      </x:c>
      <x:c r="F936" t="n">
        <x:f>MIN($B$5,D936)*$B$7+MAX($B$5-D936,0)*$B$9-$B$5*$B$8</x:f>
        <x:v>240</x:v>
      </x:c>
      <x:c r="G936" t="n">
        <x:f>MIN($B$6,D936)*$B$7+MAX($B$6-D936,0)*$B$9-$B$6*$B$8</x:f>
        <x:v>297.04999999999995</x:v>
      </x:c>
      <x:c r="H936" t="n">
        <x:f>MAX(D936-$B$5,0)</x:f>
        <x:v>83</x:v>
      </x:c>
      <x:c r="I936" t="n">
        <x:f>MAX($B$5-D936,0)</x:f>
        <x:v>0</x:v>
      </x:c>
    </x:row>
    <x:row r="937">
      <x:c r="A937" t="n">
        <x:f>925</x:f>
        <x:v>925</x:v>
      </x:c>
      <x:c r="B937" t="n">
        <x:f>RAND()</x:f>
        <x:v>0.2112260233406119</x:v>
      </x:c>
      <x:c r="C937" t="n">
        <x:f>MIN(47,INT(B937*47)+1)</x:f>
        <x:v>10</x:v>
      </x:c>
      <x:c r="D937" t="n">
        <x:f>INDEX(Datos_47_semanas!$B$4:$B$50,C937)</x:f>
        <x:v>98</x:v>
      </x:c>
      <x:c r="E937" t="n">
        <x:f>MIN($B$4,D937)*$B$7+MAX($B$4-D937,0)*$B$9-$B$4*$B$8</x:f>
        <x:v>-5.200000000000017</x:v>
      </x:c>
      <x:c r="F937" t="n">
        <x:f>MIN($B$5,D937)*$B$7+MAX($B$5-D937,0)*$B$9-$B$5*$B$8</x:f>
        <x:v>-32.70000000000002</x:v>
      </x:c>
      <x:c r="G937" t="n">
        <x:f>MIN($B$6,D937)*$B$7+MAX($B$6-D937,0)*$B$9-$B$6*$B$8</x:f>
        <x:v>-87.70000000000002</x:v>
      </x:c>
      <x:c r="H937" t="n">
        <x:f>MAX(D937-$B$5,0)</x:f>
        <x:v>0</x:v>
      </x:c>
      <x:c r="I937" t="n">
        <x:f>MAX($B$5-D937,0)</x:f>
        <x:v>202</x:v>
      </x:c>
    </x:row>
    <x:row r="938">
      <x:c r="A938" t="n">
        <x:f>926</x:f>
        <x:v>926</x:v>
      </x:c>
      <x:c r="B938" t="n">
        <x:f>RAND()</x:f>
        <x:v>0.004350120459295059</x:v>
      </x:c>
      <x:c r="C938" t="n">
        <x:f>MIN(47,INT(B938*47)+1)</x:f>
        <x:v>1</x:v>
      </x:c>
      <x:c r="D938" t="n">
        <x:f>INDEX(Datos_47_semanas!$B$4:$B$50,C938)</x:f>
        <x:v>418</x:v>
      </x:c>
      <x:c r="E938" t="n">
        <x:f>MIN($B$4,D938)*$B$7+MAX($B$4-D938,0)*$B$9-$B$4*$B$8</x:f>
        <x:v>200</x:v>
      </x:c>
      <x:c r="F938" t="n">
        <x:f>MIN($B$5,D938)*$B$7+MAX($B$5-D938,0)*$B$9-$B$5*$B$8</x:f>
        <x:v>240</x:v>
      </x:c>
      <x:c r="G938" t="n">
        <x:f>MIN($B$6,D938)*$B$7+MAX($B$6-D938,0)*$B$9-$B$6*$B$8</x:f>
        <x:v>320</x:v>
      </x:c>
      <x:c r="H938" t="n">
        <x:f>MAX(D938-$B$5,0)</x:f>
        <x:v>118</x:v>
      </x:c>
      <x:c r="I938" t="n">
        <x:f>MAX($B$5-D938,0)</x:f>
        <x:v>0</x:v>
      </x:c>
    </x:row>
    <x:row r="939">
      <x:c r="A939" t="n">
        <x:f>927</x:f>
        <x:v>927</x:v>
      </x:c>
      <x:c r="B939" t="n">
        <x:f>RAND()</x:f>
        <x:v>0.9351072022554304</x:v>
      </x:c>
      <x:c r="C939" t="n">
        <x:f>MIN(47,INT(B939*47)+1)</x:f>
        <x:v>44</x:v>
      </x:c>
      <x:c r="D939" t="n">
        <x:f>INDEX(Datos_47_semanas!$B$4:$B$50,C939)</x:f>
        <x:v>223</x:v>
      </x:c>
      <x:c r="E939" t="n">
        <x:f>MIN($B$4,D939)*$B$7+MAX($B$4-D939,0)*$B$9-$B$4*$B$8</x:f>
        <x:v>163.55</x:v>
      </x:c>
      <x:c r="F939" t="n">
        <x:f>MIN($B$5,D939)*$B$7+MAX($B$5-D939,0)*$B$9-$B$5*$B$8</x:f>
        <x:v>136.05</x:v>
      </x:c>
      <x:c r="G939" t="n">
        <x:f>MIN($B$6,D939)*$B$7+MAX($B$6-D939,0)*$B$9-$B$6*$B$8</x:f>
        <x:v>81.05000000000001</x:v>
      </x:c>
      <x:c r="H939" t="n">
        <x:f>MAX(D939-$B$5,0)</x:f>
        <x:v>0</x:v>
      </x:c>
      <x:c r="I939" t="n">
        <x:f>MAX($B$5-D939,0)</x:f>
        <x:v>77</x:v>
      </x:c>
    </x:row>
    <x:row r="940">
      <x:c r="A940" t="n">
        <x:f>928</x:f>
        <x:v>928</x:v>
      </x:c>
      <x:c r="B940" t="n">
        <x:f>RAND()</x:f>
        <x:v>0.6038228196938722</x:v>
      </x:c>
      <x:c r="C940" t="n">
        <x:f>MIN(47,INT(B940*47)+1)</x:f>
        <x:v>29</x:v>
      </x:c>
      <x:c r="D940" t="n">
        <x:f>INDEX(Datos_47_semanas!$B$4:$B$50,C940)</x:f>
        <x:v>415</x:v>
      </x:c>
      <x:c r="E940" t="n">
        <x:f>MIN($B$4,D940)*$B$7+MAX($B$4-D940,0)*$B$9-$B$4*$B$8</x:f>
        <x:v>200</x:v>
      </x:c>
      <x:c r="F940" t="n">
        <x:f>MIN($B$5,D940)*$B$7+MAX($B$5-D940,0)*$B$9-$B$5*$B$8</x:f>
        <x:v>240</x:v>
      </x:c>
      <x:c r="G940" t="n">
        <x:f>MIN($B$6,D940)*$B$7+MAX($B$6-D940,0)*$B$9-$B$6*$B$8</x:f>
        <x:v>320</x:v>
      </x:c>
      <x:c r="H940" t="n">
        <x:f>MAX(D940-$B$5,0)</x:f>
        <x:v>115</x:v>
      </x:c>
      <x:c r="I940" t="n">
        <x:f>MAX($B$5-D940,0)</x:f>
        <x:v>0</x:v>
      </x:c>
    </x:row>
    <x:row r="941">
      <x:c r="A941" t="n">
        <x:f>929</x:f>
        <x:v>929</x:v>
      </x:c>
      <x:c r="B941" t="n">
        <x:f>RAND()</x:f>
        <x:v>0.46434402359484694</x:v>
      </x:c>
      <x:c r="C941" t="n">
        <x:f>MIN(47,INT(B941*47)+1)</x:f>
        <x:v>22</x:v>
      </x:c>
      <x:c r="D941" t="n">
        <x:f>INDEX(Datos_47_semanas!$B$4:$B$50,C941)</x:f>
        <x:v>171</x:v>
      </x:c>
      <x:c r="E941" t="n">
        <x:f>MIN($B$4,D941)*$B$7+MAX($B$4-D941,0)*$B$9-$B$4*$B$8</x:f>
        <x:v>93.34999999999997</x:v>
      </x:c>
      <x:c r="F941" t="n">
        <x:f>MIN($B$5,D941)*$B$7+MAX($B$5-D941,0)*$B$9-$B$5*$B$8</x:f>
        <x:v>65.84999999999997</x:v>
      </x:c>
      <x:c r="G941" t="n">
        <x:f>MIN($B$6,D941)*$B$7+MAX($B$6-D941,0)*$B$9-$B$6*$B$8</x:f>
        <x:v>10.849999999999966</x:v>
      </x:c>
      <x:c r="H941" t="n">
        <x:f>MAX(D941-$B$5,0)</x:f>
        <x:v>0</x:v>
      </x:c>
      <x:c r="I941" t="n">
        <x:f>MAX($B$5-D941,0)</x:f>
        <x:v>129</x:v>
      </x:c>
    </x:row>
    <x:row r="942">
      <x:c r="A942" t="n">
        <x:f>930</x:f>
        <x:v>930</x:v>
      </x:c>
      <x:c r="B942" t="n">
        <x:f>RAND()</x:f>
        <x:v>0.7431267037938014</x:v>
      </x:c>
      <x:c r="C942" t="n">
        <x:f>MIN(47,INT(B942*47)+1)</x:f>
        <x:v>35</x:v>
      </x:c>
      <x:c r="D942" t="n">
        <x:f>INDEX(Datos_47_semanas!$B$4:$B$50,C942)</x:f>
        <x:v>192</x:v>
      </x:c>
      <x:c r="E942" t="n">
        <x:f>MIN($B$4,D942)*$B$7+MAX($B$4-D942,0)*$B$9-$B$4*$B$8</x:f>
        <x:v>121.69999999999993</x:v>
      </x:c>
      <x:c r="F942" t="n">
        <x:f>MIN($B$5,D942)*$B$7+MAX($B$5-D942,0)*$B$9-$B$5*$B$8</x:f>
        <x:v>94.19999999999993</x:v>
      </x:c>
      <x:c r="G942" t="n">
        <x:f>MIN($B$6,D942)*$B$7+MAX($B$6-D942,0)*$B$9-$B$6*$B$8</x:f>
        <x:v>39.19999999999993</x:v>
      </x:c>
      <x:c r="H942" t="n">
        <x:f>MAX(D942-$B$5,0)</x:f>
        <x:v>0</x:v>
      </x:c>
      <x:c r="I942" t="n">
        <x:f>MAX($B$5-D942,0)</x:f>
        <x:v>108</x:v>
      </x:c>
    </x:row>
    <x:row r="943">
      <x:c r="A943" t="n">
        <x:f>931</x:f>
        <x:v>931</x:v>
      </x:c>
      <x:c r="B943" t="n">
        <x:f>RAND()</x:f>
        <x:v>0.6739445565232816</x:v>
      </x:c>
      <x:c r="C943" t="n">
        <x:f>MIN(47,INT(B943*47)+1)</x:f>
        <x:v>32</x:v>
      </x:c>
      <x:c r="D943" t="n">
        <x:f>INDEX(Datos_47_semanas!$B$4:$B$50,C943)</x:f>
        <x:v>575</x:v>
      </x:c>
      <x:c r="E943" t="n">
        <x:f>MIN($B$4,D943)*$B$7+MAX($B$4-D943,0)*$B$9-$B$4*$B$8</x:f>
        <x:v>200</x:v>
      </x:c>
      <x:c r="F943" t="n">
        <x:f>MIN($B$5,D943)*$B$7+MAX($B$5-D943,0)*$B$9-$B$5*$B$8</x:f>
        <x:v>240</x:v>
      </x:c>
      <x:c r="G943" t="n">
        <x:f>MIN($B$6,D943)*$B$7+MAX($B$6-D943,0)*$B$9-$B$6*$B$8</x:f>
        <x:v>320</x:v>
      </x:c>
      <x:c r="H943" t="n">
        <x:f>MAX(D943-$B$5,0)</x:f>
        <x:v>275</x:v>
      </x:c>
      <x:c r="I943" t="n">
        <x:f>MAX($B$5-D943,0)</x:f>
        <x:v>0</x:v>
      </x:c>
    </x:row>
    <x:row r="944">
      <x:c r="A944" t="n">
        <x:f>932</x:f>
        <x:v>932</x:v>
      </x:c>
      <x:c r="B944" t="n">
        <x:f>RAND()</x:f>
        <x:v>0.08048402950838285</x:v>
      </x:c>
      <x:c r="C944" t="n">
        <x:f>MIN(47,INT(B944*47)+1)</x:f>
        <x:v>4</x:v>
      </x:c>
      <x:c r="D944" t="n">
        <x:f>INDEX(Datos_47_semanas!$B$4:$B$50,C944)</x:f>
        <x:v>161</x:v>
      </x:c>
      <x:c r="E944" t="n">
        <x:f>MIN($B$4,D944)*$B$7+MAX($B$4-D944,0)*$B$9-$B$4*$B$8</x:f>
        <x:v>79.84999999999997</x:v>
      </x:c>
      <x:c r="F944" t="n">
        <x:f>MIN($B$5,D944)*$B$7+MAX($B$5-D944,0)*$B$9-$B$5*$B$8</x:f>
        <x:v>52.349999999999966</x:v>
      </x:c>
      <x:c r="G944" t="n">
        <x:f>MIN($B$6,D944)*$B$7+MAX($B$6-D944,0)*$B$9-$B$6*$B$8</x:f>
        <x:v>-2.650000000000034</x:v>
      </x:c>
      <x:c r="H944" t="n">
        <x:f>MAX(D944-$B$5,0)</x:f>
        <x:v>0</x:v>
      </x:c>
      <x:c r="I944" t="n">
        <x:f>MAX($B$5-D944,0)</x:f>
        <x:v>139</x:v>
      </x:c>
    </x:row>
    <x:row r="945">
      <x:c r="A945" t="n">
        <x:f>933</x:f>
        <x:v>933</x:v>
      </x:c>
      <x:c r="B945" t="n">
        <x:f>RAND()</x:f>
        <x:v>0.7125683943913933</x:v>
      </x:c>
      <x:c r="C945" t="n">
        <x:f>MIN(47,INT(B945*47)+1)</x:f>
        <x:v>34</x:v>
      </x:c>
      <x:c r="D945" t="n">
        <x:f>INDEX(Datos_47_semanas!$B$4:$B$50,C945)</x:f>
        <x:v>281</x:v>
      </x:c>
      <x:c r="E945" t="n">
        <x:f>MIN($B$4,D945)*$B$7+MAX($B$4-D945,0)*$B$9-$B$4*$B$8</x:f>
        <x:v>200</x:v>
      </x:c>
      <x:c r="F945" t="n">
        <x:f>MIN($B$5,D945)*$B$7+MAX($B$5-D945,0)*$B$9-$B$5*$B$8</x:f>
        <x:v>214.34999999999997</x:v>
      </x:c>
      <x:c r="G945" t="n">
        <x:f>MIN($B$6,D945)*$B$7+MAX($B$6-D945,0)*$B$9-$B$6*$B$8</x:f>
        <x:v>159.34999999999997</x:v>
      </x:c>
      <x:c r="H945" t="n">
        <x:f>MAX(D945-$B$5,0)</x:f>
        <x:v>0</x:v>
      </x:c>
      <x:c r="I945" t="n">
        <x:f>MAX($B$5-D945,0)</x:f>
        <x:v>19</x:v>
      </x:c>
    </x:row>
    <x:row r="946">
      <x:c r="A946" t="n">
        <x:f>934</x:f>
        <x:v>934</x:v>
      </x:c>
      <x:c r="B946" t="n">
        <x:f>RAND()</x:f>
        <x:v>0.05510251256197096</x:v>
      </x:c>
      <x:c r="C946" t="n">
        <x:f>MIN(47,INT(B946*47)+1)</x:f>
        <x:v>3</x:v>
      </x:c>
      <x:c r="D946" t="n">
        <x:f>INDEX(Datos_47_semanas!$B$4:$B$50,C946)</x:f>
        <x:v>128</x:v>
      </x:c>
      <x:c r="E946" t="n">
        <x:f>MIN($B$4,D946)*$B$7+MAX($B$4-D946,0)*$B$9-$B$4*$B$8</x:f>
        <x:v>35.29999999999998</x:v>
      </x:c>
      <x:c r="F946" t="n">
        <x:f>MIN($B$5,D946)*$B$7+MAX($B$5-D946,0)*$B$9-$B$5*$B$8</x:f>
        <x:v>7.800000000000011</x:v>
      </x:c>
      <x:c r="G946" t="n">
        <x:f>MIN($B$6,D946)*$B$7+MAX($B$6-D946,0)*$B$9-$B$6*$B$8</x:f>
        <x:v>-47.200000000000045</x:v>
      </x:c>
      <x:c r="H946" t="n">
        <x:f>MAX(D946-$B$5,0)</x:f>
        <x:v>0</x:v>
      </x:c>
      <x:c r="I946" t="n">
        <x:f>MAX($B$5-D946,0)</x:f>
        <x:v>172</x:v>
      </x:c>
    </x:row>
    <x:row r="947">
      <x:c r="A947" t="n">
        <x:f>935</x:f>
        <x:v>935</x:v>
      </x:c>
      <x:c r="B947" t="n">
        <x:f>RAND()</x:f>
        <x:v>0.2880873596375343</x:v>
      </x:c>
      <x:c r="C947" t="n">
        <x:f>MIN(47,INT(B947*47)+1)</x:f>
        <x:v>14</x:v>
      </x:c>
      <x:c r="D947" t="n">
        <x:f>INDEX(Datos_47_semanas!$B$4:$B$50,C947)</x:f>
        <x:v>187</x:v>
      </x:c>
      <x:c r="E947" t="n">
        <x:f>MIN($B$4,D947)*$B$7+MAX($B$4-D947,0)*$B$9-$B$4*$B$8</x:f>
        <x:v>114.94999999999999</x:v>
      </x:c>
      <x:c r="F947" t="n">
        <x:f>MIN($B$5,D947)*$B$7+MAX($B$5-D947,0)*$B$9-$B$5*$B$8</x:f>
        <x:v>87.44999999999999</x:v>
      </x:c>
      <x:c r="G947" t="n">
        <x:f>MIN($B$6,D947)*$B$7+MAX($B$6-D947,0)*$B$9-$B$6*$B$8</x:f>
        <x:v>32.44999999999999</x:v>
      </x:c>
      <x:c r="H947" t="n">
        <x:f>MAX(D947-$B$5,0)</x:f>
        <x:v>0</x:v>
      </x:c>
      <x:c r="I947" t="n">
        <x:f>MAX($B$5-D947,0)</x:f>
        <x:v>113</x:v>
      </x:c>
    </x:row>
    <x:row r="948">
      <x:c r="A948" t="n">
        <x:f>936</x:f>
        <x:v>936</x:v>
      </x:c>
      <x:c r="B948" t="n">
        <x:f>RAND()</x:f>
        <x:v>0.7731583307028879</x:v>
      </x:c>
      <x:c r="C948" t="n">
        <x:f>MIN(47,INT(B948*47)+1)</x:f>
        <x:v>37</x:v>
      </x:c>
      <x:c r="D948" t="n">
        <x:f>INDEX(Datos_47_semanas!$B$4:$B$50,C948)</x:f>
        <x:v>299</x:v>
      </x:c>
      <x:c r="E948" t="n">
        <x:f>MIN($B$4,D948)*$B$7+MAX($B$4-D948,0)*$B$9-$B$4*$B$8</x:f>
        <x:v>200</x:v>
      </x:c>
      <x:c r="F948" t="n">
        <x:f>MIN($B$5,D948)*$B$7+MAX($B$5-D948,0)*$B$9-$B$5*$B$8</x:f>
        <x:v>238.64999999999998</x:v>
      </x:c>
      <x:c r="G948" t="n">
        <x:f>MIN($B$6,D948)*$B$7+MAX($B$6-D948,0)*$B$9-$B$6*$B$8</x:f>
        <x:v>183.64999999999998</x:v>
      </x:c>
      <x:c r="H948" t="n">
        <x:f>MAX(D948-$B$5,0)</x:f>
        <x:v>0</x:v>
      </x:c>
      <x:c r="I948" t="n">
        <x:f>MAX($B$5-D948,0)</x:f>
        <x:v>1</x:v>
      </x:c>
    </x:row>
    <x:row r="949">
      <x:c r="A949" t="n">
        <x:f>937</x:f>
        <x:v>937</x:v>
      </x:c>
      <x:c r="B949" t="n">
        <x:f>RAND()</x:f>
        <x:v>0.8859158077799649</x:v>
      </x:c>
      <x:c r="C949" t="n">
        <x:f>MIN(47,INT(B949*47)+1)</x:f>
        <x:v>42</x:v>
      </x:c>
      <x:c r="D949" t="n">
        <x:f>INDEX(Datos_47_semanas!$B$4:$B$50,C949)</x:f>
        <x:v>146</x:v>
      </x:c>
      <x:c r="E949" t="n">
        <x:f>MIN($B$4,D949)*$B$7+MAX($B$4-D949,0)*$B$9-$B$4*$B$8</x:f>
        <x:v>59.599999999999966</x:v>
      </x:c>
      <x:c r="F949" t="n">
        <x:f>MIN($B$5,D949)*$B$7+MAX($B$5-D949,0)*$B$9-$B$5*$B$8</x:f>
        <x:v>32.099999999999966</x:v>
      </x:c>
      <x:c r="G949" t="n">
        <x:f>MIN($B$6,D949)*$B$7+MAX($B$6-D949,0)*$B$9-$B$6*$B$8</x:f>
        <x:v>-22.900000000000034</x:v>
      </x:c>
      <x:c r="H949" t="n">
        <x:f>MAX(D949-$B$5,0)</x:f>
        <x:v>0</x:v>
      </x:c>
      <x:c r="I949" t="n">
        <x:f>MAX($B$5-D949,0)</x:f>
        <x:v>154</x:v>
      </x:c>
    </x:row>
    <x:row r="950">
      <x:c r="A950" t="n">
        <x:f>938</x:f>
        <x:v>938</x:v>
      </x:c>
      <x:c r="B950" t="n">
        <x:f>RAND()</x:f>
        <x:v>0.19935570115964985</x:v>
      </x:c>
      <x:c r="C950" t="n">
        <x:f>MIN(47,INT(B950*47)+1)</x:f>
        <x:v>10</x:v>
      </x:c>
      <x:c r="D950" t="n">
        <x:f>INDEX(Datos_47_semanas!$B$4:$B$50,C950)</x:f>
        <x:v>98</x:v>
      </x:c>
      <x:c r="E950" t="n">
        <x:f>MIN($B$4,D950)*$B$7+MAX($B$4-D950,0)*$B$9-$B$4*$B$8</x:f>
        <x:v>-5.200000000000017</x:v>
      </x:c>
      <x:c r="F950" t="n">
        <x:f>MIN($B$5,D950)*$B$7+MAX($B$5-D950,0)*$B$9-$B$5*$B$8</x:f>
        <x:v>-32.70000000000002</x:v>
      </x:c>
      <x:c r="G950" t="n">
        <x:f>MIN($B$6,D950)*$B$7+MAX($B$6-D950,0)*$B$9-$B$6*$B$8</x:f>
        <x:v>-87.70000000000002</x:v>
      </x:c>
      <x:c r="H950" t="n">
        <x:f>MAX(D950-$B$5,0)</x:f>
        <x:v>0</x:v>
      </x:c>
      <x:c r="I950" t="n">
        <x:f>MAX($B$5-D950,0)</x:f>
        <x:v>202</x:v>
      </x:c>
    </x:row>
    <x:row r="951">
      <x:c r="A951" t="n">
        <x:f>939</x:f>
        <x:v>939</x:v>
      </x:c>
      <x:c r="B951" t="n">
        <x:f>RAND()</x:f>
        <x:v>0.0018553913800792854</x:v>
      </x:c>
      <x:c r="C951" t="n">
        <x:f>MIN(47,INT(B951*47)+1)</x:f>
        <x:v>1</x:v>
      </x:c>
      <x:c r="D951" t="n">
        <x:f>INDEX(Datos_47_semanas!$B$4:$B$50,C951)</x:f>
        <x:v>418</x:v>
      </x:c>
      <x:c r="E951" t="n">
        <x:f>MIN($B$4,D951)*$B$7+MAX($B$4-D951,0)*$B$9-$B$4*$B$8</x:f>
        <x:v>200</x:v>
      </x:c>
      <x:c r="F951" t="n">
        <x:f>MIN($B$5,D951)*$B$7+MAX($B$5-D951,0)*$B$9-$B$5*$B$8</x:f>
        <x:v>240</x:v>
      </x:c>
      <x:c r="G951" t="n">
        <x:f>MIN($B$6,D951)*$B$7+MAX($B$6-D951,0)*$B$9-$B$6*$B$8</x:f>
        <x:v>320</x:v>
      </x:c>
      <x:c r="H951" t="n">
        <x:f>MAX(D951-$B$5,0)</x:f>
        <x:v>118</x:v>
      </x:c>
      <x:c r="I951" t="n">
        <x:f>MAX($B$5-D951,0)</x:f>
        <x:v>0</x:v>
      </x:c>
    </x:row>
    <x:row r="952">
      <x:c r="A952" t="n">
        <x:f>940</x:f>
        <x:v>940</x:v>
      </x:c>
      <x:c r="B952" t="n">
        <x:f>RAND()</x:f>
        <x:v>0.9663724566402656</x:v>
      </x:c>
      <x:c r="C952" t="n">
        <x:f>MIN(47,INT(B952*47)+1)</x:f>
        <x:v>46</x:v>
      </x:c>
      <x:c r="D952" t="n">
        <x:f>INDEX(Datos_47_semanas!$B$4:$B$50,C952)</x:f>
        <x:v>449</x:v>
      </x:c>
      <x:c r="E952" t="n">
        <x:f>MIN($B$4,D952)*$B$7+MAX($B$4-D952,0)*$B$9-$B$4*$B$8</x:f>
        <x:v>200</x:v>
      </x:c>
      <x:c r="F952" t="n">
        <x:f>MIN($B$5,D952)*$B$7+MAX($B$5-D952,0)*$B$9-$B$5*$B$8</x:f>
        <x:v>240</x:v>
      </x:c>
      <x:c r="G952" t="n">
        <x:f>MIN($B$6,D952)*$B$7+MAX($B$6-D952,0)*$B$9-$B$6*$B$8</x:f>
        <x:v>320</x:v>
      </x:c>
      <x:c r="H952" t="n">
        <x:f>MAX(D952-$B$5,0)</x:f>
        <x:v>149</x:v>
      </x:c>
      <x:c r="I952" t="n">
        <x:f>MAX($B$5-D952,0)</x:f>
        <x:v>0</x:v>
      </x:c>
    </x:row>
    <x:row r="953">
      <x:c r="A953" t="n">
        <x:f>941</x:f>
        <x:v>941</x:v>
      </x:c>
      <x:c r="B953" t="n">
        <x:f>RAND()</x:f>
        <x:v>0.12022782763776818</x:v>
      </x:c>
      <x:c r="C953" t="n">
        <x:f>MIN(47,INT(B953*47)+1)</x:f>
        <x:v>6</x:v>
      </x:c>
      <x:c r="D953" t="n">
        <x:f>INDEX(Datos_47_semanas!$B$4:$B$50,C953)</x:f>
        <x:v>155</x:v>
      </x:c>
      <x:c r="E953" t="n">
        <x:f>MIN($B$4,D953)*$B$7+MAX($B$4-D953,0)*$B$9-$B$4*$B$8</x:f>
        <x:v>71.75</x:v>
      </x:c>
      <x:c r="F953" t="n">
        <x:f>MIN($B$5,D953)*$B$7+MAX($B$5-D953,0)*$B$9-$B$5*$B$8</x:f>
        <x:v>44.25</x:v>
      </x:c>
      <x:c r="G953" t="n">
        <x:f>MIN($B$6,D953)*$B$7+MAX($B$6-D953,0)*$B$9-$B$6*$B$8</x:f>
        <x:v>-10.75</x:v>
      </x:c>
      <x:c r="H953" t="n">
        <x:f>MAX(D953-$B$5,0)</x:f>
        <x:v>0</x:v>
      </x:c>
      <x:c r="I953" t="n">
        <x:f>MAX($B$5-D953,0)</x:f>
        <x:v>145</x:v>
      </x:c>
    </x:row>
    <x:row r="954">
      <x:c r="A954" t="n">
        <x:f>942</x:f>
        <x:v>942</x:v>
      </x:c>
      <x:c r="B954" t="n">
        <x:f>RAND()</x:f>
        <x:v>0.8347248360023084</x:v>
      </x:c>
      <x:c r="C954" t="n">
        <x:f>MIN(47,INT(B954*47)+1)</x:f>
        <x:v>40</x:v>
      </x:c>
      <x:c r="D954" t="n">
        <x:f>INDEX(Datos_47_semanas!$B$4:$B$50,C954)</x:f>
        <x:v>278</x:v>
      </x:c>
      <x:c r="E954" t="n">
        <x:f>MIN($B$4,D954)*$B$7+MAX($B$4-D954,0)*$B$9-$B$4*$B$8</x:f>
        <x:v>200</x:v>
      </x:c>
      <x:c r="F954" t="n">
        <x:f>MIN($B$5,D954)*$B$7+MAX($B$5-D954,0)*$B$9-$B$5*$B$8</x:f>
        <x:v>210.3</x:v>
      </x:c>
      <x:c r="G954" t="n">
        <x:f>MIN($B$6,D954)*$B$7+MAX($B$6-D954,0)*$B$9-$B$6*$B$8</x:f>
        <x:v>155.3</x:v>
      </x:c>
      <x:c r="H954" t="n">
        <x:f>MAX(D954-$B$5,0)</x:f>
        <x:v>0</x:v>
      </x:c>
      <x:c r="I954" t="n">
        <x:f>MAX($B$5-D954,0)</x:f>
        <x:v>22</x:v>
      </x:c>
    </x:row>
    <x:row r="955">
      <x:c r="A955" t="n">
        <x:f>943</x:f>
        <x:v>943</x:v>
      </x:c>
      <x:c r="B955" t="n">
        <x:f>RAND()</x:f>
        <x:v>0.6056278175052728</x:v>
      </x:c>
      <x:c r="C955" t="n">
        <x:f>MIN(47,INT(B955*47)+1)</x:f>
        <x:v>29</x:v>
      </x:c>
      <x:c r="D955" t="n">
        <x:f>INDEX(Datos_47_semanas!$B$4:$B$50,C955)</x:f>
        <x:v>415</x:v>
      </x:c>
      <x:c r="E955" t="n">
        <x:f>MIN($B$4,D955)*$B$7+MAX($B$4-D955,0)*$B$9-$B$4*$B$8</x:f>
        <x:v>200</x:v>
      </x:c>
      <x:c r="F955" t="n">
        <x:f>MIN($B$5,D955)*$B$7+MAX($B$5-D955,0)*$B$9-$B$5*$B$8</x:f>
        <x:v>240</x:v>
      </x:c>
      <x:c r="G955" t="n">
        <x:f>MIN($B$6,D955)*$B$7+MAX($B$6-D955,0)*$B$9-$B$6*$B$8</x:f>
        <x:v>320</x:v>
      </x:c>
      <x:c r="H955" t="n">
        <x:f>MAX(D955-$B$5,0)</x:f>
        <x:v>115</x:v>
      </x:c>
      <x:c r="I955" t="n">
        <x:f>MAX($B$5-D955,0)</x:f>
        <x:v>0</x:v>
      </x:c>
    </x:row>
    <x:row r="956">
      <x:c r="A956" t="n">
        <x:f>944</x:f>
        <x:v>944</x:v>
      </x:c>
      <x:c r="B956" t="n">
        <x:f>RAND()</x:f>
        <x:v>0.6445629448686286</x:v>
      </x:c>
      <x:c r="C956" t="n">
        <x:f>MIN(47,INT(B956*47)+1)</x:f>
        <x:v>31</x:v>
      </x:c>
      <x:c r="D956" t="n">
        <x:f>INDEX(Datos_47_semanas!$B$4:$B$50,C956)</x:f>
        <x:v>583</x:v>
      </x:c>
      <x:c r="E956" t="n">
        <x:f>MIN($B$4,D956)*$B$7+MAX($B$4-D956,0)*$B$9-$B$4*$B$8</x:f>
        <x:v>200</x:v>
      </x:c>
      <x:c r="F956" t="n">
        <x:f>MIN($B$5,D956)*$B$7+MAX($B$5-D956,0)*$B$9-$B$5*$B$8</x:f>
        <x:v>240</x:v>
      </x:c>
      <x:c r="G956" t="n">
        <x:f>MIN($B$6,D956)*$B$7+MAX($B$6-D956,0)*$B$9-$B$6*$B$8</x:f>
        <x:v>320</x:v>
      </x:c>
      <x:c r="H956" t="n">
        <x:f>MAX(D956-$B$5,0)</x:f>
        <x:v>283</x:v>
      </x:c>
      <x:c r="I956" t="n">
        <x:f>MAX($B$5-D956,0)</x:f>
        <x:v>0</x:v>
      </x:c>
    </x:row>
    <x:row r="957">
      <x:c r="A957" t="n">
        <x:f>945</x:f>
        <x:v>945</x:v>
      </x:c>
      <x:c r="B957" t="n">
        <x:f>RAND()</x:f>
        <x:v>0.8893580592424366</x:v>
      </x:c>
      <x:c r="C957" t="n">
        <x:f>MIN(47,INT(B957*47)+1)</x:f>
        <x:v>42</x:v>
      </x:c>
      <x:c r="D957" t="n">
        <x:f>INDEX(Datos_47_semanas!$B$4:$B$50,C957)</x:f>
        <x:v>146</x:v>
      </x:c>
      <x:c r="E957" t="n">
        <x:f>MIN($B$4,D957)*$B$7+MAX($B$4-D957,0)*$B$9-$B$4*$B$8</x:f>
        <x:v>59.599999999999966</x:v>
      </x:c>
      <x:c r="F957" t="n">
        <x:f>MIN($B$5,D957)*$B$7+MAX($B$5-D957,0)*$B$9-$B$5*$B$8</x:f>
        <x:v>32.099999999999966</x:v>
      </x:c>
      <x:c r="G957" t="n">
        <x:f>MIN($B$6,D957)*$B$7+MAX($B$6-D957,0)*$B$9-$B$6*$B$8</x:f>
        <x:v>-22.900000000000034</x:v>
      </x:c>
      <x:c r="H957" t="n">
        <x:f>MAX(D957-$B$5,0)</x:f>
        <x:v>0</x:v>
      </x:c>
      <x:c r="I957" t="n">
        <x:f>MAX($B$5-D957,0)</x:f>
        <x:v>154</x:v>
      </x:c>
    </x:row>
    <x:row r="958">
      <x:c r="A958" t="n">
        <x:f>946</x:f>
        <x:v>946</x:v>
      </x:c>
      <x:c r="B958" t="n">
        <x:f>RAND()</x:f>
        <x:v>0.188209193228297</x:v>
      </x:c>
      <x:c r="C958" t="n">
        <x:f>MIN(47,INT(B958*47)+1)</x:f>
        <x:v>9</x:v>
      </x:c>
      <x:c r="D958" t="n">
        <x:f>INDEX(Datos_47_semanas!$B$4:$B$50,C958)</x:f>
        <x:v>155</x:v>
      </x:c>
      <x:c r="E958" t="n">
        <x:f>MIN($B$4,D958)*$B$7+MAX($B$4-D958,0)*$B$9-$B$4*$B$8</x:f>
        <x:v>71.75</x:v>
      </x:c>
      <x:c r="F958" t="n">
        <x:f>MIN($B$5,D958)*$B$7+MAX($B$5-D958,0)*$B$9-$B$5*$B$8</x:f>
        <x:v>44.25</x:v>
      </x:c>
      <x:c r="G958" t="n">
        <x:f>MIN($B$6,D958)*$B$7+MAX($B$6-D958,0)*$B$9-$B$6*$B$8</x:f>
        <x:v>-10.75</x:v>
      </x:c>
      <x:c r="H958" t="n">
        <x:f>MAX(D958-$B$5,0)</x:f>
        <x:v>0</x:v>
      </x:c>
      <x:c r="I958" t="n">
        <x:f>MAX($B$5-D958,0)</x:f>
        <x:v>145</x:v>
      </x:c>
    </x:row>
    <x:row r="959">
      <x:c r="A959" t="n">
        <x:f>947</x:f>
        <x:v>947</x:v>
      </x:c>
      <x:c r="B959" t="n">
        <x:f>RAND()</x:f>
        <x:v>0.43272463429361474</x:v>
      </x:c>
      <x:c r="C959" t="n">
        <x:f>MIN(47,INT(B959*47)+1)</x:f>
        <x:v>21</x:v>
      </x:c>
      <x:c r="D959" t="n">
        <x:f>INDEX(Datos_47_semanas!$B$4:$B$50,C959)</x:f>
        <x:v>424</x:v>
      </x:c>
      <x:c r="E959" t="n">
        <x:f>MIN($B$4,D959)*$B$7+MAX($B$4-D959,0)*$B$9-$B$4*$B$8</x:f>
        <x:v>200</x:v>
      </x:c>
      <x:c r="F959" t="n">
        <x:f>MIN($B$5,D959)*$B$7+MAX($B$5-D959,0)*$B$9-$B$5*$B$8</x:f>
        <x:v>240</x:v>
      </x:c>
      <x:c r="G959" t="n">
        <x:f>MIN($B$6,D959)*$B$7+MAX($B$6-D959,0)*$B$9-$B$6*$B$8</x:f>
        <x:v>320</x:v>
      </x:c>
      <x:c r="H959" t="n">
        <x:f>MAX(D959-$B$5,0)</x:f>
        <x:v>124</x:v>
      </x:c>
      <x:c r="I959" t="n">
        <x:f>MAX($B$5-D959,0)</x:f>
        <x:v>0</x:v>
      </x:c>
    </x:row>
    <x:row r="960">
      <x:c r="A960" t="n">
        <x:f>948</x:f>
        <x:v>948</x:v>
      </x:c>
      <x:c r="B960" t="n">
        <x:f>RAND()</x:f>
        <x:v>0.5097299227363938</x:v>
      </x:c>
      <x:c r="C960" t="n">
        <x:f>MIN(47,INT(B960*47)+1)</x:f>
        <x:v>24</x:v>
      </x:c>
      <x:c r="D960" t="n">
        <x:f>INDEX(Datos_47_semanas!$B$4:$B$50,C960)</x:f>
        <x:v>186</x:v>
      </x:c>
      <x:c r="E960" t="n">
        <x:f>MIN($B$4,D960)*$B$7+MAX($B$4-D960,0)*$B$9-$B$4*$B$8</x:f>
        <x:v>113.59999999999997</x:v>
      </x:c>
      <x:c r="F960" t="n">
        <x:f>MIN($B$5,D960)*$B$7+MAX($B$5-D960,0)*$B$9-$B$5*$B$8</x:f>
        <x:v>86.09999999999997</x:v>
      </x:c>
      <x:c r="G960" t="n">
        <x:f>MIN($B$6,D960)*$B$7+MAX($B$6-D960,0)*$B$9-$B$6*$B$8</x:f>
        <x:v>31.099999999999966</x:v>
      </x:c>
      <x:c r="H960" t="n">
        <x:f>MAX(D960-$B$5,0)</x:f>
        <x:v>0</x:v>
      </x:c>
      <x:c r="I960" t="n">
        <x:f>MAX($B$5-D960,0)</x:f>
        <x:v>114</x:v>
      </x:c>
    </x:row>
    <x:row r="961">
      <x:c r="A961" t="n">
        <x:f>949</x:f>
        <x:v>949</x:v>
      </x:c>
      <x:c r="B961" t="n">
        <x:f>RAND()</x:f>
        <x:v>0.7153275215236907</x:v>
      </x:c>
      <x:c r="C961" t="n">
        <x:f>MIN(47,INT(B961*47)+1)</x:f>
        <x:v>34</x:v>
      </x:c>
      <x:c r="D961" t="n">
        <x:f>INDEX(Datos_47_semanas!$B$4:$B$50,C961)</x:f>
        <x:v>281</x:v>
      </x:c>
      <x:c r="E961" t="n">
        <x:f>MIN($B$4,D961)*$B$7+MAX($B$4-D961,0)*$B$9-$B$4*$B$8</x:f>
        <x:v>200</x:v>
      </x:c>
      <x:c r="F961" t="n">
        <x:f>MIN($B$5,D961)*$B$7+MAX($B$5-D961,0)*$B$9-$B$5*$B$8</x:f>
        <x:v>214.34999999999997</x:v>
      </x:c>
      <x:c r="G961" t="n">
        <x:f>MIN($B$6,D961)*$B$7+MAX($B$6-D961,0)*$B$9-$B$6*$B$8</x:f>
        <x:v>159.34999999999997</x:v>
      </x:c>
      <x:c r="H961" t="n">
        <x:f>MAX(D961-$B$5,0)</x:f>
        <x:v>0</x:v>
      </x:c>
      <x:c r="I961" t="n">
        <x:f>MAX($B$5-D961,0)</x:f>
        <x:v>19</x:v>
      </x:c>
    </x:row>
    <x:row r="962">
      <x:c r="A962" t="n">
        <x:f>950</x:f>
        <x:v>950</x:v>
      </x:c>
      <x:c r="B962" t="n">
        <x:f>RAND()</x:f>
        <x:v>0.6991412118923753</x:v>
      </x:c>
      <x:c r="C962" t="n">
        <x:f>MIN(47,INT(B962*47)+1)</x:f>
        <x:v>33</x:v>
      </x:c>
      <x:c r="D962" t="n">
        <x:f>INDEX(Datos_47_semanas!$B$4:$B$50,C962)</x:f>
        <x:v>373</x:v>
      </x:c>
      <x:c r="E962" t="n">
        <x:f>MIN($B$4,D962)*$B$7+MAX($B$4-D962,0)*$B$9-$B$4*$B$8</x:f>
        <x:v>200</x:v>
      </x:c>
      <x:c r="F962" t="n">
        <x:f>MIN($B$5,D962)*$B$7+MAX($B$5-D962,0)*$B$9-$B$5*$B$8</x:f>
        <x:v>240</x:v>
      </x:c>
      <x:c r="G962" t="n">
        <x:f>MIN($B$6,D962)*$B$7+MAX($B$6-D962,0)*$B$9-$B$6*$B$8</x:f>
        <x:v>283.54999999999995</x:v>
      </x:c>
      <x:c r="H962" t="n">
        <x:f>MAX(D962-$B$5,0)</x:f>
        <x:v>73</x:v>
      </x:c>
      <x:c r="I962" t="n">
        <x:f>MAX($B$5-D962,0)</x:f>
        <x:v>0</x:v>
      </x:c>
    </x:row>
    <x:row r="963">
      <x:c r="A963" t="n">
        <x:f>951</x:f>
        <x:v>951</x:v>
      </x:c>
      <x:c r="B963" t="n">
        <x:f>RAND()</x:f>
        <x:v>0.03990019917933352</x:v>
      </x:c>
      <x:c r="C963" t="n">
        <x:f>MIN(47,INT(B963*47)+1)</x:f>
        <x:v>2</x:v>
      </x:c>
      <x:c r="D963" t="n">
        <x:f>INDEX(Datos_47_semanas!$B$4:$B$50,C963)</x:f>
        <x:v>282</x:v>
      </x:c>
      <x:c r="E963" t="n">
        <x:f>MIN($B$4,D963)*$B$7+MAX($B$4-D963,0)*$B$9-$B$4*$B$8</x:f>
        <x:v>200</x:v>
      </x:c>
      <x:c r="F963" t="n">
        <x:f>MIN($B$5,D963)*$B$7+MAX($B$5-D963,0)*$B$9-$B$5*$B$8</x:f>
        <x:v>215.69999999999993</x:v>
      </x:c>
      <x:c r="G963" t="n">
        <x:f>MIN($B$6,D963)*$B$7+MAX($B$6-D963,0)*$B$9-$B$6*$B$8</x:f>
        <x:v>160.69999999999993</x:v>
      </x:c>
      <x:c r="H963" t="n">
        <x:f>MAX(D963-$B$5,0)</x:f>
        <x:v>0</x:v>
      </x:c>
      <x:c r="I963" t="n">
        <x:f>MAX($B$5-D963,0)</x:f>
        <x:v>18</x:v>
      </x:c>
    </x:row>
    <x:row r="964">
      <x:c r="A964" t="n">
        <x:f>952</x:f>
        <x:v>952</x:v>
      </x:c>
      <x:c r="B964" t="n">
        <x:f>RAND()</x:f>
        <x:v>0.8620826255333153</x:v>
      </x:c>
      <x:c r="C964" t="n">
        <x:f>MIN(47,INT(B964*47)+1)</x:f>
        <x:v>41</x:v>
      </x:c>
      <x:c r="D964" t="n">
        <x:f>INDEX(Datos_47_semanas!$B$4:$B$50,C964)</x:f>
        <x:v>383</x:v>
      </x:c>
      <x:c r="E964" t="n">
        <x:f>MIN($B$4,D964)*$B$7+MAX($B$4-D964,0)*$B$9-$B$4*$B$8</x:f>
        <x:v>200</x:v>
      </x:c>
      <x:c r="F964" t="n">
        <x:f>MIN($B$5,D964)*$B$7+MAX($B$5-D964,0)*$B$9-$B$5*$B$8</x:f>
        <x:v>240</x:v>
      </x:c>
      <x:c r="G964" t="n">
        <x:f>MIN($B$6,D964)*$B$7+MAX($B$6-D964,0)*$B$9-$B$6*$B$8</x:f>
        <x:v>297.04999999999995</x:v>
      </x:c>
      <x:c r="H964" t="n">
        <x:f>MAX(D964-$B$5,0)</x:f>
        <x:v>83</x:v>
      </x:c>
      <x:c r="I964" t="n">
        <x:f>MAX($B$5-D964,0)</x:f>
        <x:v>0</x:v>
      </x:c>
    </x:row>
    <x:row r="965">
      <x:c r="A965" t="n">
        <x:f>953</x:f>
        <x:v>953</x:v>
      </x:c>
      <x:c r="B965" t="n">
        <x:f>RAND()</x:f>
        <x:v>0.9376306906984456</x:v>
      </x:c>
      <x:c r="C965" t="n">
        <x:f>MIN(47,INT(B965*47)+1)</x:f>
        <x:v>45</x:v>
      </x:c>
      <x:c r="D965" t="n">
        <x:f>INDEX(Datos_47_semanas!$B$4:$B$50,C965)</x:f>
        <x:v>526</x:v>
      </x:c>
      <x:c r="E965" t="n">
        <x:f>MIN($B$4,D965)*$B$7+MAX($B$4-D965,0)*$B$9-$B$4*$B$8</x:f>
        <x:v>200</x:v>
      </x:c>
      <x:c r="F965" t="n">
        <x:f>MIN($B$5,D965)*$B$7+MAX($B$5-D965,0)*$B$9-$B$5*$B$8</x:f>
        <x:v>240</x:v>
      </x:c>
      <x:c r="G965" t="n">
        <x:f>MIN($B$6,D965)*$B$7+MAX($B$6-D965,0)*$B$9-$B$6*$B$8</x:f>
        <x:v>320</x:v>
      </x:c>
      <x:c r="H965" t="n">
        <x:f>MAX(D965-$B$5,0)</x:f>
        <x:v>226</x:v>
      </x:c>
      <x:c r="I965" t="n">
        <x:f>MAX($B$5-D965,0)</x:f>
        <x:v>0</x:v>
      </x:c>
    </x:row>
    <x:row r="966">
      <x:c r="A966" t="n">
        <x:f>954</x:f>
        <x:v>954</x:v>
      </x:c>
      <x:c r="B966" t="n">
        <x:f>RAND()</x:f>
        <x:v>0.04951687375517777</x:v>
      </x:c>
      <x:c r="C966" t="n">
        <x:f>MIN(47,INT(B966*47)+1)</x:f>
        <x:v>3</x:v>
      </x:c>
      <x:c r="D966" t="n">
        <x:f>INDEX(Datos_47_semanas!$B$4:$B$50,C966)</x:f>
        <x:v>128</x:v>
      </x:c>
      <x:c r="E966" t="n">
        <x:f>MIN($B$4,D966)*$B$7+MAX($B$4-D966,0)*$B$9-$B$4*$B$8</x:f>
        <x:v>35.29999999999998</x:v>
      </x:c>
      <x:c r="F966" t="n">
        <x:f>MIN($B$5,D966)*$B$7+MAX($B$5-D966,0)*$B$9-$B$5*$B$8</x:f>
        <x:v>7.800000000000011</x:v>
      </x:c>
      <x:c r="G966" t="n">
        <x:f>MIN($B$6,D966)*$B$7+MAX($B$6-D966,0)*$B$9-$B$6*$B$8</x:f>
        <x:v>-47.200000000000045</x:v>
      </x:c>
      <x:c r="H966" t="n">
        <x:f>MAX(D966-$B$5,0)</x:f>
        <x:v>0</x:v>
      </x:c>
      <x:c r="I966" t="n">
        <x:f>MAX($B$5-D966,0)</x:f>
        <x:v>172</x:v>
      </x:c>
    </x:row>
    <x:row r="967">
      <x:c r="A967" t="n">
        <x:f>955</x:f>
        <x:v>955</x:v>
      </x:c>
      <x:c r="B967" t="n">
        <x:f>RAND()</x:f>
        <x:v>0.8037589156829122</x:v>
      </x:c>
      <x:c r="C967" t="n">
        <x:f>MIN(47,INT(B967*47)+1)</x:f>
        <x:v>38</x:v>
      </x:c>
      <x:c r="D967" t="n">
        <x:f>INDEX(Datos_47_semanas!$B$4:$B$50,C967)</x:f>
        <x:v>212</x:v>
      </x:c>
      <x:c r="E967" t="n">
        <x:f>MIN($B$4,D967)*$B$7+MAX($B$4-D967,0)*$B$9-$B$4*$B$8</x:f>
        <x:v>148.69999999999993</x:v>
      </x:c>
      <x:c r="F967" t="n">
        <x:f>MIN($B$5,D967)*$B$7+MAX($B$5-D967,0)*$B$9-$B$5*$B$8</x:f>
        <x:v>121.19999999999993</x:v>
      </x:c>
      <x:c r="G967" t="n">
        <x:f>MIN($B$6,D967)*$B$7+MAX($B$6-D967,0)*$B$9-$B$6*$B$8</x:f>
        <x:v>66.19999999999993</x:v>
      </x:c>
      <x:c r="H967" t="n">
        <x:f>MAX(D967-$B$5,0)</x:f>
        <x:v>0</x:v>
      </x:c>
      <x:c r="I967" t="n">
        <x:f>MAX($B$5-D967,0)</x:f>
        <x:v>88</x:v>
      </x:c>
    </x:row>
    <x:row r="968">
      <x:c r="A968" t="n">
        <x:f>956</x:f>
        <x:v>956</x:v>
      </x:c>
      <x:c r="B968" t="n">
        <x:f>RAND()</x:f>
        <x:v>0.4539354705056705</x:v>
      </x:c>
      <x:c r="C968" t="n">
        <x:f>MIN(47,INT(B968*47)+1)</x:f>
        <x:v>22</x:v>
      </x:c>
      <x:c r="D968" t="n">
        <x:f>INDEX(Datos_47_semanas!$B$4:$B$50,C968)</x:f>
        <x:v>171</x:v>
      </x:c>
      <x:c r="E968" t="n">
        <x:f>MIN($B$4,D968)*$B$7+MAX($B$4-D968,0)*$B$9-$B$4*$B$8</x:f>
        <x:v>93.34999999999997</x:v>
      </x:c>
      <x:c r="F968" t="n">
        <x:f>MIN($B$5,D968)*$B$7+MAX($B$5-D968,0)*$B$9-$B$5*$B$8</x:f>
        <x:v>65.84999999999997</x:v>
      </x:c>
      <x:c r="G968" t="n">
        <x:f>MIN($B$6,D968)*$B$7+MAX($B$6-D968,0)*$B$9-$B$6*$B$8</x:f>
        <x:v>10.849999999999966</x:v>
      </x:c>
      <x:c r="H968" t="n">
        <x:f>MAX(D968-$B$5,0)</x:f>
        <x:v>0</x:v>
      </x:c>
      <x:c r="I968" t="n">
        <x:f>MAX($B$5-D968,0)</x:f>
        <x:v>129</x:v>
      </x:c>
    </x:row>
    <x:row r="969">
      <x:c r="A969" t="n">
        <x:f>957</x:f>
        <x:v>957</x:v>
      </x:c>
      <x:c r="B969" t="n">
        <x:f>RAND()</x:f>
        <x:v>0.07956787931315024</x:v>
      </x:c>
      <x:c r="C969" t="n">
        <x:f>MIN(47,INT(B969*47)+1)</x:f>
        <x:v>4</x:v>
      </x:c>
      <x:c r="D969" t="n">
        <x:f>INDEX(Datos_47_semanas!$B$4:$B$50,C969)</x:f>
        <x:v>161</x:v>
      </x:c>
      <x:c r="E969" t="n">
        <x:f>MIN($B$4,D969)*$B$7+MAX($B$4-D969,0)*$B$9-$B$4*$B$8</x:f>
        <x:v>79.84999999999997</x:v>
      </x:c>
      <x:c r="F969" t="n">
        <x:f>MIN($B$5,D969)*$B$7+MAX($B$5-D969,0)*$B$9-$B$5*$B$8</x:f>
        <x:v>52.349999999999966</x:v>
      </x:c>
      <x:c r="G969" t="n">
        <x:f>MIN($B$6,D969)*$B$7+MAX($B$6-D969,0)*$B$9-$B$6*$B$8</x:f>
        <x:v>-2.650000000000034</x:v>
      </x:c>
      <x:c r="H969" t="n">
        <x:f>MAX(D969-$B$5,0)</x:f>
        <x:v>0</x:v>
      </x:c>
      <x:c r="I969" t="n">
        <x:f>MAX($B$5-D969,0)</x:f>
        <x:v>139</x:v>
      </x:c>
    </x:row>
    <x:row r="970">
      <x:c r="A970" t="n">
        <x:f>958</x:f>
        <x:v>958</x:v>
      </x:c>
      <x:c r="B970" t="n">
        <x:f>RAND()</x:f>
        <x:v>0.7836749879866345</x:v>
      </x:c>
      <x:c r="C970" t="n">
        <x:f>MIN(47,INT(B970*47)+1)</x:f>
        <x:v>37</x:v>
      </x:c>
      <x:c r="D970" t="n">
        <x:f>INDEX(Datos_47_semanas!$B$4:$B$50,C970)</x:f>
        <x:v>299</x:v>
      </x:c>
      <x:c r="E970" t="n">
        <x:f>MIN($B$4,D970)*$B$7+MAX($B$4-D970,0)*$B$9-$B$4*$B$8</x:f>
        <x:v>200</x:v>
      </x:c>
      <x:c r="F970" t="n">
        <x:f>MIN($B$5,D970)*$B$7+MAX($B$5-D970,0)*$B$9-$B$5*$B$8</x:f>
        <x:v>238.64999999999998</x:v>
      </x:c>
      <x:c r="G970" t="n">
        <x:f>MIN($B$6,D970)*$B$7+MAX($B$6-D970,0)*$B$9-$B$6*$B$8</x:f>
        <x:v>183.64999999999998</x:v>
      </x:c>
      <x:c r="H970" t="n">
        <x:f>MAX(D970-$B$5,0)</x:f>
        <x:v>0</x:v>
      </x:c>
      <x:c r="I970" t="n">
        <x:f>MAX($B$5-D970,0)</x:f>
        <x:v>1</x:v>
      </x:c>
    </x:row>
    <x:row r="971">
      <x:c r="A971" t="n">
        <x:f>959</x:f>
        <x:v>959</x:v>
      </x:c>
      <x:c r="B971" t="n">
        <x:f>RAND()</x:f>
        <x:v>0.29823770459920096</x:v>
      </x:c>
      <x:c r="C971" t="n">
        <x:f>MIN(47,INT(B971*47)+1)</x:f>
        <x:v>15</x:v>
      </x:c>
      <x:c r="D971" t="n">
        <x:f>INDEX(Datos_47_semanas!$B$4:$B$50,C971)</x:f>
        <x:v>275</x:v>
      </x:c>
      <x:c r="E971" t="n">
        <x:f>MIN($B$4,D971)*$B$7+MAX($B$4-D971,0)*$B$9-$B$4*$B$8</x:f>
        <x:v>200</x:v>
      </x:c>
      <x:c r="F971" t="n">
        <x:f>MIN($B$5,D971)*$B$7+MAX($B$5-D971,0)*$B$9-$B$5*$B$8</x:f>
        <x:v>206.25</x:v>
      </x:c>
      <x:c r="G971" t="n">
        <x:f>MIN($B$6,D971)*$B$7+MAX($B$6-D971,0)*$B$9-$B$6*$B$8</x:f>
        <x:v>151.25</x:v>
      </x:c>
      <x:c r="H971" t="n">
        <x:f>MAX(D971-$B$5,0)</x:f>
        <x:v>0</x:v>
      </x:c>
      <x:c r="I971" t="n">
        <x:f>MAX($B$5-D971,0)</x:f>
        <x:v>25</x:v>
      </x:c>
    </x:row>
    <x:row r="972">
      <x:c r="A972" t="n">
        <x:f>960</x:f>
        <x:v>960</x:v>
      </x:c>
      <x:c r="B972" t="n">
        <x:f>RAND()</x:f>
        <x:v>0.6373891418536821</x:v>
      </x:c>
      <x:c r="C972" t="n">
        <x:f>MIN(47,INT(B972*47)+1)</x:f>
        <x:v>30</x:v>
      </x:c>
      <x:c r="D972" t="n">
        <x:f>INDEX(Datos_47_semanas!$B$4:$B$50,C972)</x:f>
        <x:v>345</x:v>
      </x:c>
      <x:c r="E972" t="n">
        <x:f>MIN($B$4,D972)*$B$7+MAX($B$4-D972,0)*$B$9-$B$4*$B$8</x:f>
        <x:v>200</x:v>
      </x:c>
      <x:c r="F972" t="n">
        <x:f>MIN($B$5,D972)*$B$7+MAX($B$5-D972,0)*$B$9-$B$5*$B$8</x:f>
        <x:v>240</x:v>
      </x:c>
      <x:c r="G972" t="n">
        <x:f>MIN($B$6,D972)*$B$7+MAX($B$6-D972,0)*$B$9-$B$6*$B$8</x:f>
        <x:v>245.75</x:v>
      </x:c>
      <x:c r="H972" t="n">
        <x:f>MAX(D972-$B$5,0)</x:f>
        <x:v>45</x:v>
      </x:c>
      <x:c r="I972" t="n">
        <x:f>MAX($B$5-D972,0)</x:f>
        <x:v>0</x:v>
      </x:c>
    </x:row>
    <x:row r="973">
      <x:c r="A973" t="n">
        <x:f>961</x:f>
        <x:v>961</x:v>
      </x:c>
      <x:c r="B973" t="n">
        <x:f>RAND()</x:f>
        <x:v>0.40414828405421876</x:v>
      </x:c>
      <x:c r="C973" t="n">
        <x:f>MIN(47,INT(B973*47)+1)</x:f>
        <x:v>19</x:v>
      </x:c>
      <x:c r="D973" t="n">
        <x:f>INDEX(Datos_47_semanas!$B$4:$B$50,C973)</x:f>
        <x:v>470</x:v>
      </x:c>
      <x:c r="E973" t="n">
        <x:f>MIN($B$4,D973)*$B$7+MAX($B$4-D973,0)*$B$9-$B$4*$B$8</x:f>
        <x:v>200</x:v>
      </x:c>
      <x:c r="F973" t="n">
        <x:f>MIN($B$5,D973)*$B$7+MAX($B$5-D973,0)*$B$9-$B$5*$B$8</x:f>
        <x:v>240</x:v>
      </x:c>
      <x:c r="G973" t="n">
        <x:f>MIN($B$6,D973)*$B$7+MAX($B$6-D973,0)*$B$9-$B$6*$B$8</x:f>
        <x:v>320</x:v>
      </x:c>
      <x:c r="H973" t="n">
        <x:f>MAX(D973-$B$5,0)</x:f>
        <x:v>170</x:v>
      </x:c>
      <x:c r="I973" t="n">
        <x:f>MAX($B$5-D973,0)</x:f>
        <x:v>0</x:v>
      </x:c>
    </x:row>
    <x:row r="974">
      <x:c r="A974" t="n">
        <x:f>962</x:f>
        <x:v>962</x:v>
      </x:c>
      <x:c r="B974" t="n">
        <x:f>RAND()</x:f>
        <x:v>0.37247405975417436</x:v>
      </x:c>
      <x:c r="C974" t="n">
        <x:f>MIN(47,INT(B974*47)+1)</x:f>
        <x:v>18</x:v>
      </x:c>
      <x:c r="D974" t="n">
        <x:f>INDEX(Datos_47_semanas!$B$4:$B$50,C974)</x:f>
        <x:v>219</x:v>
      </x:c>
      <x:c r="E974" t="n">
        <x:f>MIN($B$4,D974)*$B$7+MAX($B$4-D974,0)*$B$9-$B$4*$B$8</x:f>
        <x:v>158.14999999999998</x:v>
      </x:c>
      <x:c r="F974" t="n">
        <x:f>MIN($B$5,D974)*$B$7+MAX($B$5-D974,0)*$B$9-$B$5*$B$8</x:f>
        <x:v>130.64999999999998</x:v>
      </x:c>
      <x:c r="G974" t="n">
        <x:f>MIN($B$6,D974)*$B$7+MAX($B$6-D974,0)*$B$9-$B$6*$B$8</x:f>
        <x:v>75.64999999999998</x:v>
      </x:c>
      <x:c r="H974" t="n">
        <x:f>MAX(D974-$B$5,0)</x:f>
        <x:v>0</x:v>
      </x:c>
      <x:c r="I974" t="n">
        <x:f>MAX($B$5-D974,0)</x:f>
        <x:v>81</x:v>
      </x:c>
    </x:row>
    <x:row r="975">
      <x:c r="A975" t="n">
        <x:f>963</x:f>
        <x:v>963</x:v>
      </x:c>
      <x:c r="B975" t="n">
        <x:f>RAND()</x:f>
        <x:v>0.9359026098906135</x:v>
      </x:c>
      <x:c r="C975" t="n">
        <x:f>MIN(47,INT(B975*47)+1)</x:f>
        <x:v>44</x:v>
      </x:c>
      <x:c r="D975" t="n">
        <x:f>INDEX(Datos_47_semanas!$B$4:$B$50,C975)</x:f>
        <x:v>223</x:v>
      </x:c>
      <x:c r="E975" t="n">
        <x:f>MIN($B$4,D975)*$B$7+MAX($B$4-D975,0)*$B$9-$B$4*$B$8</x:f>
        <x:v>163.55</x:v>
      </x:c>
      <x:c r="F975" t="n">
        <x:f>MIN($B$5,D975)*$B$7+MAX($B$5-D975,0)*$B$9-$B$5*$B$8</x:f>
        <x:v>136.05</x:v>
      </x:c>
      <x:c r="G975" t="n">
        <x:f>MIN($B$6,D975)*$B$7+MAX($B$6-D975,0)*$B$9-$B$6*$B$8</x:f>
        <x:v>81.05000000000001</x:v>
      </x:c>
      <x:c r="H975" t="n">
        <x:f>MAX(D975-$B$5,0)</x:f>
        <x:v>0</x:v>
      </x:c>
      <x:c r="I975" t="n">
        <x:f>MAX($B$5-D975,0)</x:f>
        <x:v>77</x:v>
      </x:c>
    </x:row>
    <x:row r="976">
      <x:c r="A976" t="n">
        <x:f>964</x:f>
        <x:v>964</x:v>
      </x:c>
      <x:c r="B976" t="n">
        <x:f>RAND()</x:f>
        <x:v>0.6809369421260667</x:v>
      </x:c>
      <x:c r="C976" t="n">
        <x:f>MIN(47,INT(B976*47)+1)</x:f>
        <x:v>33</x:v>
      </x:c>
      <x:c r="D976" t="n">
        <x:f>INDEX(Datos_47_semanas!$B$4:$B$50,C976)</x:f>
        <x:v>373</x:v>
      </x:c>
      <x:c r="E976" t="n">
        <x:f>MIN($B$4,D976)*$B$7+MAX($B$4-D976,0)*$B$9-$B$4*$B$8</x:f>
        <x:v>200</x:v>
      </x:c>
      <x:c r="F976" t="n">
        <x:f>MIN($B$5,D976)*$B$7+MAX($B$5-D976,0)*$B$9-$B$5*$B$8</x:f>
        <x:v>240</x:v>
      </x:c>
      <x:c r="G976" t="n">
        <x:f>MIN($B$6,D976)*$B$7+MAX($B$6-D976,0)*$B$9-$B$6*$B$8</x:f>
        <x:v>283.54999999999995</x:v>
      </x:c>
      <x:c r="H976" t="n">
        <x:f>MAX(D976-$B$5,0)</x:f>
        <x:v>73</x:v>
      </x:c>
      <x:c r="I976" t="n">
        <x:f>MAX($B$5-D976,0)</x:f>
        <x:v>0</x:v>
      </x:c>
    </x:row>
    <x:row r="977">
      <x:c r="A977" t="n">
        <x:f>965</x:f>
        <x:v>965</x:v>
      </x:c>
      <x:c r="B977" t="n">
        <x:f>RAND()</x:f>
        <x:v>0.11456188675715862</x:v>
      </x:c>
      <x:c r="C977" t="n">
        <x:f>MIN(47,INT(B977*47)+1)</x:f>
        <x:v>6</x:v>
      </x:c>
      <x:c r="D977" t="n">
        <x:f>INDEX(Datos_47_semanas!$B$4:$B$50,C977)</x:f>
        <x:v>155</x:v>
      </x:c>
      <x:c r="E977" t="n">
        <x:f>MIN($B$4,D977)*$B$7+MAX($B$4-D977,0)*$B$9-$B$4*$B$8</x:f>
        <x:v>71.75</x:v>
      </x:c>
      <x:c r="F977" t="n">
        <x:f>MIN($B$5,D977)*$B$7+MAX($B$5-D977,0)*$B$9-$B$5*$B$8</x:f>
        <x:v>44.25</x:v>
      </x:c>
      <x:c r="G977" t="n">
        <x:f>MIN($B$6,D977)*$B$7+MAX($B$6-D977,0)*$B$9-$B$6*$B$8</x:f>
        <x:v>-10.75</x:v>
      </x:c>
      <x:c r="H977" t="n">
        <x:f>MAX(D977-$B$5,0)</x:f>
        <x:v>0</x:v>
      </x:c>
      <x:c r="I977" t="n">
        <x:f>MAX($B$5-D977,0)</x:f>
        <x:v>145</x:v>
      </x:c>
    </x:row>
    <x:row r="978">
      <x:c r="A978" t="n">
        <x:f>966</x:f>
        <x:v>966</x:v>
      </x:c>
      <x:c r="B978" t="n">
        <x:f>RAND()</x:f>
        <x:v>0.8442995347829194</x:v>
      </x:c>
      <x:c r="C978" t="n">
        <x:f>MIN(47,INT(B978*47)+1)</x:f>
        <x:v>40</x:v>
      </x:c>
      <x:c r="D978" t="n">
        <x:f>INDEX(Datos_47_semanas!$B$4:$B$50,C978)</x:f>
        <x:v>278</x:v>
      </x:c>
      <x:c r="E978" t="n">
        <x:f>MIN($B$4,D978)*$B$7+MAX($B$4-D978,0)*$B$9-$B$4*$B$8</x:f>
        <x:v>200</x:v>
      </x:c>
      <x:c r="F978" t="n">
        <x:f>MIN($B$5,D978)*$B$7+MAX($B$5-D978,0)*$B$9-$B$5*$B$8</x:f>
        <x:v>210.3</x:v>
      </x:c>
      <x:c r="G978" t="n">
        <x:f>MIN($B$6,D978)*$B$7+MAX($B$6-D978,0)*$B$9-$B$6*$B$8</x:f>
        <x:v>155.3</x:v>
      </x:c>
      <x:c r="H978" t="n">
        <x:f>MAX(D978-$B$5,0)</x:f>
        <x:v>0</x:v>
      </x:c>
      <x:c r="I978" t="n">
        <x:f>MAX($B$5-D978,0)</x:f>
        <x:v>22</x:v>
      </x:c>
    </x:row>
    <x:row r="979">
      <x:c r="A979" t="n">
        <x:f>967</x:f>
        <x:v>967</x:v>
      </x:c>
      <x:c r="B979" t="n">
        <x:f>RAND()</x:f>
        <x:v>0.8655402449041869</x:v>
      </x:c>
      <x:c r="C979" t="n">
        <x:f>MIN(47,INT(B979*47)+1)</x:f>
        <x:v>41</x:v>
      </x:c>
      <x:c r="D979" t="n">
        <x:f>INDEX(Datos_47_semanas!$B$4:$B$50,C979)</x:f>
        <x:v>383</x:v>
      </x:c>
      <x:c r="E979" t="n">
        <x:f>MIN($B$4,D979)*$B$7+MAX($B$4-D979,0)*$B$9-$B$4*$B$8</x:f>
        <x:v>200</x:v>
      </x:c>
      <x:c r="F979" t="n">
        <x:f>MIN($B$5,D979)*$B$7+MAX($B$5-D979,0)*$B$9-$B$5*$B$8</x:f>
        <x:v>240</x:v>
      </x:c>
      <x:c r="G979" t="n">
        <x:f>MIN($B$6,D979)*$B$7+MAX($B$6-D979,0)*$B$9-$B$6*$B$8</x:f>
        <x:v>297.04999999999995</x:v>
      </x:c>
      <x:c r="H979" t="n">
        <x:f>MAX(D979-$B$5,0)</x:f>
        <x:v>83</x:v>
      </x:c>
      <x:c r="I979" t="n">
        <x:f>MAX($B$5-D979,0)</x:f>
        <x:v>0</x:v>
      </x:c>
    </x:row>
    <x:row r="980">
      <x:c r="A980" t="n">
        <x:f>968</x:f>
        <x:v>968</x:v>
      </x:c>
      <x:c r="B980" t="n">
        <x:f>RAND()</x:f>
        <x:v>0.26232332766035427</x:v>
      </x:c>
      <x:c r="C980" t="n">
        <x:f>MIN(47,INT(B980*47)+1)</x:f>
        <x:v>13</x:v>
      </x:c>
      <x:c r="D980" t="n">
        <x:f>INDEX(Datos_47_semanas!$B$4:$B$50,C980)</x:f>
        <x:v>517</x:v>
      </x:c>
      <x:c r="E980" t="n">
        <x:f>MIN($B$4,D980)*$B$7+MAX($B$4-D980,0)*$B$9-$B$4*$B$8</x:f>
        <x:v>200</x:v>
      </x:c>
      <x:c r="F980" t="n">
        <x:f>MIN($B$5,D980)*$B$7+MAX($B$5-D980,0)*$B$9-$B$5*$B$8</x:f>
        <x:v>240</x:v>
      </x:c>
      <x:c r="G980" t="n">
        <x:f>MIN($B$6,D980)*$B$7+MAX($B$6-D980,0)*$B$9-$B$6*$B$8</x:f>
        <x:v>320</x:v>
      </x:c>
      <x:c r="H980" t="n">
        <x:f>MAX(D980-$B$5,0)</x:f>
        <x:v>217</x:v>
      </x:c>
      <x:c r="I980" t="n">
        <x:f>MAX($B$5-D980,0)</x:f>
        <x:v>0</x:v>
      </x:c>
    </x:row>
    <x:row r="981">
      <x:c r="A981" t="n">
        <x:f>969</x:f>
        <x:v>969</x:v>
      </x:c>
      <x:c r="B981" t="n">
        <x:f>RAND()</x:f>
        <x:v>0.6464218069867321</x:v>
      </x:c>
      <x:c r="C981" t="n">
        <x:f>MIN(47,INT(B981*47)+1)</x:f>
        <x:v>31</x:v>
      </x:c>
      <x:c r="D981" t="n">
        <x:f>INDEX(Datos_47_semanas!$B$4:$B$50,C981)</x:f>
        <x:v>583</x:v>
      </x:c>
      <x:c r="E981" t="n">
        <x:f>MIN($B$4,D981)*$B$7+MAX($B$4-D981,0)*$B$9-$B$4*$B$8</x:f>
        <x:v>200</x:v>
      </x:c>
      <x:c r="F981" t="n">
        <x:f>MIN($B$5,D981)*$B$7+MAX($B$5-D981,0)*$B$9-$B$5*$B$8</x:f>
        <x:v>240</x:v>
      </x:c>
      <x:c r="G981" t="n">
        <x:f>MIN($B$6,D981)*$B$7+MAX($B$6-D981,0)*$B$9-$B$6*$B$8</x:f>
        <x:v>320</x:v>
      </x:c>
      <x:c r="H981" t="n">
        <x:f>MAX(D981-$B$5,0)</x:f>
        <x:v>283</x:v>
      </x:c>
      <x:c r="I981" t="n">
        <x:f>MAX($B$5-D981,0)</x:f>
        <x:v>0</x:v>
      </x:c>
    </x:row>
    <x:row r="982">
      <x:c r="A982" t="n">
        <x:f>970</x:f>
        <x:v>970</x:v>
      </x:c>
      <x:c r="B982" t="n">
        <x:f>RAND()</x:f>
        <x:v>0.81682014630202</x:v>
      </x:c>
      <x:c r="C982" t="n">
        <x:f>MIN(47,INT(B982*47)+1)</x:f>
        <x:v>39</x:v>
      </x:c>
      <x:c r="D982" t="n">
        <x:f>INDEX(Datos_47_semanas!$B$4:$B$50,C982)</x:f>
        <x:v>228</x:v>
      </x:c>
      <x:c r="E982" t="n">
        <x:f>MIN($B$4,D982)*$B$7+MAX($B$4-D982,0)*$B$9-$B$4*$B$8</x:f>
        <x:v>170.3</x:v>
      </x:c>
      <x:c r="F982" t="n">
        <x:f>MIN($B$5,D982)*$B$7+MAX($B$5-D982,0)*$B$9-$B$5*$B$8</x:f>
        <x:v>142.8</x:v>
      </x:c>
      <x:c r="G982" t="n">
        <x:f>MIN($B$6,D982)*$B$7+MAX($B$6-D982,0)*$B$9-$B$6*$B$8</x:f>
        <x:v>87.80000000000001</x:v>
      </x:c>
      <x:c r="H982" t="n">
        <x:f>MAX(D982-$B$5,0)</x:f>
        <x:v>0</x:v>
      </x:c>
      <x:c r="I982" t="n">
        <x:f>MAX($B$5-D982,0)</x:f>
        <x:v>72</x:v>
      </x:c>
    </x:row>
    <x:row r="983">
      <x:c r="A983" t="n">
        <x:f>971</x:f>
        <x:v>971</x:v>
      </x:c>
      <x:c r="B983" t="n">
        <x:f>RAND()</x:f>
        <x:v>0.6878959023598407</x:v>
      </x:c>
      <x:c r="C983" t="n">
        <x:f>MIN(47,INT(B983*47)+1)</x:f>
        <x:v>33</x:v>
      </x:c>
      <x:c r="D983" t="n">
        <x:f>INDEX(Datos_47_semanas!$B$4:$B$50,C983)</x:f>
        <x:v>373</x:v>
      </x:c>
      <x:c r="E983" t="n">
        <x:f>MIN($B$4,D983)*$B$7+MAX($B$4-D983,0)*$B$9-$B$4*$B$8</x:f>
        <x:v>200</x:v>
      </x:c>
      <x:c r="F983" t="n">
        <x:f>MIN($B$5,D983)*$B$7+MAX($B$5-D983,0)*$B$9-$B$5*$B$8</x:f>
        <x:v>240</x:v>
      </x:c>
      <x:c r="G983" t="n">
        <x:f>MIN($B$6,D983)*$B$7+MAX($B$6-D983,0)*$B$9-$B$6*$B$8</x:f>
        <x:v>283.54999999999995</x:v>
      </x:c>
      <x:c r="H983" t="n">
        <x:f>MAX(D983-$B$5,0)</x:f>
        <x:v>73</x:v>
      </x:c>
      <x:c r="I983" t="n">
        <x:f>MAX($B$5-D983,0)</x:f>
        <x:v>0</x:v>
      </x:c>
    </x:row>
    <x:row r="984">
      <x:c r="A984" t="n">
        <x:f>972</x:f>
        <x:v>972</x:v>
      </x:c>
      <x:c r="B984" t="n">
        <x:f>RAND()</x:f>
        <x:v>0.017810353598998074</x:v>
      </x:c>
      <x:c r="C984" t="n">
        <x:f>MIN(47,INT(B984*47)+1)</x:f>
        <x:v>1</x:v>
      </x:c>
      <x:c r="D984" t="n">
        <x:f>INDEX(Datos_47_semanas!$B$4:$B$50,C984)</x:f>
        <x:v>418</x:v>
      </x:c>
      <x:c r="E984" t="n">
        <x:f>MIN($B$4,D984)*$B$7+MAX($B$4-D984,0)*$B$9-$B$4*$B$8</x:f>
        <x:v>200</x:v>
      </x:c>
      <x:c r="F984" t="n">
        <x:f>MIN($B$5,D984)*$B$7+MAX($B$5-D984,0)*$B$9-$B$5*$B$8</x:f>
        <x:v>240</x:v>
      </x:c>
      <x:c r="G984" t="n">
        <x:f>MIN($B$6,D984)*$B$7+MAX($B$6-D984,0)*$B$9-$B$6*$B$8</x:f>
        <x:v>320</x:v>
      </x:c>
      <x:c r="H984" t="n">
        <x:f>MAX(D984-$B$5,0)</x:f>
        <x:v>118</x:v>
      </x:c>
      <x:c r="I984" t="n">
        <x:f>MAX($B$5-D984,0)</x:f>
        <x:v>0</x:v>
      </x:c>
    </x:row>
    <x:row r="985">
      <x:c r="A985" t="n">
        <x:f>973</x:f>
        <x:v>973</x:v>
      </x:c>
      <x:c r="B985" t="n">
        <x:f>RAND()</x:f>
        <x:v>0.6204220240315548</x:v>
      </x:c>
      <x:c r="C985" t="n">
        <x:f>MIN(47,INT(B985*47)+1)</x:f>
        <x:v>30</x:v>
      </x:c>
      <x:c r="D985" t="n">
        <x:f>INDEX(Datos_47_semanas!$B$4:$B$50,C985)</x:f>
        <x:v>345</x:v>
      </x:c>
      <x:c r="E985" t="n">
        <x:f>MIN($B$4,D985)*$B$7+MAX($B$4-D985,0)*$B$9-$B$4*$B$8</x:f>
        <x:v>200</x:v>
      </x:c>
      <x:c r="F985" t="n">
        <x:f>MIN($B$5,D985)*$B$7+MAX($B$5-D985,0)*$B$9-$B$5*$B$8</x:f>
        <x:v>240</x:v>
      </x:c>
      <x:c r="G985" t="n">
        <x:f>MIN($B$6,D985)*$B$7+MAX($B$6-D985,0)*$B$9-$B$6*$B$8</x:f>
        <x:v>245.75</x:v>
      </x:c>
      <x:c r="H985" t="n">
        <x:f>MAX(D985-$B$5,0)</x:f>
        <x:v>45</x:v>
      </x:c>
      <x:c r="I985" t="n">
        <x:f>MAX($B$5-D985,0)</x:f>
        <x:v>0</x:v>
      </x:c>
    </x:row>
    <x:row r="986">
      <x:c r="A986" t="n">
        <x:f>974</x:f>
        <x:v>974</x:v>
      </x:c>
      <x:c r="B986" t="n">
        <x:f>RAND()</x:f>
        <x:v>0.3315266065449455</x:v>
      </x:c>
      <x:c r="C986" t="n">
        <x:f>MIN(47,INT(B986*47)+1)</x:f>
        <x:v>16</x:v>
      </x:c>
      <x:c r="D986" t="n">
        <x:f>INDEX(Datos_47_semanas!$B$4:$B$50,C986)</x:f>
        <x:v>318</x:v>
      </x:c>
      <x:c r="E986" t="n">
        <x:f>MIN($B$4,D986)*$B$7+MAX($B$4-D986,0)*$B$9-$B$4*$B$8</x:f>
        <x:v>200</x:v>
      </x:c>
      <x:c r="F986" t="n">
        <x:f>MIN($B$5,D986)*$B$7+MAX($B$5-D986,0)*$B$9-$B$5*$B$8</x:f>
        <x:v>240</x:v>
      </x:c>
      <x:c r="G986" t="n">
        <x:f>MIN($B$6,D986)*$B$7+MAX($B$6-D986,0)*$B$9-$B$6*$B$8</x:f>
        <x:v>209.29999999999995</x:v>
      </x:c>
      <x:c r="H986" t="n">
        <x:f>MAX(D986-$B$5,0)</x:f>
        <x:v>18</x:v>
      </x:c>
      <x:c r="I986" t="n">
        <x:f>MAX($B$5-D986,0)</x:f>
        <x:v>0</x:v>
      </x:c>
    </x:row>
    <x:row r="987">
      <x:c r="A987" t="n">
        <x:f>975</x:f>
        <x:v>975</x:v>
      </x:c>
      <x:c r="B987" t="n">
        <x:f>RAND()</x:f>
        <x:v>0.9931919818943785</x:v>
      </x:c>
      <x:c r="C987" t="n">
        <x:f>MIN(47,INT(B987*47)+1)</x:f>
        <x:v>47</x:v>
      </x:c>
      <x:c r="D987" t="n">
        <x:f>INDEX(Datos_47_semanas!$B$4:$B$50,C987)</x:f>
        <x:v>256</x:v>
      </x:c>
      <x:c r="E987" t="n">
        <x:f>MIN($B$4,D987)*$B$7+MAX($B$4-D987,0)*$B$9-$B$4*$B$8</x:f>
        <x:v>200</x:v>
      </x:c>
      <x:c r="F987" t="n">
        <x:f>MIN($B$5,D987)*$B$7+MAX($B$5-D987,0)*$B$9-$B$5*$B$8</x:f>
        <x:v>180.59999999999997</x:v>
      </x:c>
      <x:c r="G987" t="n">
        <x:f>MIN($B$6,D987)*$B$7+MAX($B$6-D987,0)*$B$9-$B$6*$B$8</x:f>
        <x:v>125.59999999999997</x:v>
      </x:c>
      <x:c r="H987" t="n">
        <x:f>MAX(D987-$B$5,0)</x:f>
        <x:v>0</x:v>
      </x:c>
      <x:c r="I987" t="n">
        <x:f>MAX($B$5-D987,0)</x:f>
        <x:v>44</x:v>
      </x:c>
    </x:row>
    <x:row r="988">
      <x:c r="A988" t="n">
        <x:f>976</x:f>
        <x:v>976</x:v>
      </x:c>
      <x:c r="B988" t="n">
        <x:f>RAND()</x:f>
        <x:v>0.40607140674921594</x:v>
      </x:c>
      <x:c r="C988" t="n">
        <x:f>MIN(47,INT(B988*47)+1)</x:f>
        <x:v>20</x:v>
      </x:c>
      <x:c r="D988" t="n">
        <x:f>INDEX(Datos_47_semanas!$B$4:$B$50,C988)</x:f>
        <x:v>335</x:v>
      </x:c>
      <x:c r="E988" t="n">
        <x:f>MIN($B$4,D988)*$B$7+MAX($B$4-D988,0)*$B$9-$B$4*$B$8</x:f>
        <x:v>200</x:v>
      </x:c>
      <x:c r="F988" t="n">
        <x:f>MIN($B$5,D988)*$B$7+MAX($B$5-D988,0)*$B$9-$B$5*$B$8</x:f>
        <x:v>240</x:v>
      </x:c>
      <x:c r="G988" t="n">
        <x:f>MIN($B$6,D988)*$B$7+MAX($B$6-D988,0)*$B$9-$B$6*$B$8</x:f>
        <x:v>232.25</x:v>
      </x:c>
      <x:c r="H988" t="n">
        <x:f>MAX(D988-$B$5,0)</x:f>
        <x:v>35</x:v>
      </x:c>
      <x:c r="I988" t="n">
        <x:f>MAX($B$5-D988,0)</x:f>
        <x:v>0</x:v>
      </x:c>
    </x:row>
    <x:row r="989">
      <x:c r="A989" t="n">
        <x:f>977</x:f>
        <x:v>977</x:v>
      </x:c>
      <x:c r="B989" t="n">
        <x:f>RAND()</x:f>
        <x:v>0.24109415535984013</x:v>
      </x:c>
      <x:c r="C989" t="n">
        <x:f>MIN(47,INT(B989*47)+1)</x:f>
        <x:v>12</x:v>
      </x:c>
      <x:c r="D989" t="n">
        <x:f>INDEX(Datos_47_semanas!$B$4:$B$50,C989)</x:f>
        <x:v>336</x:v>
      </x:c>
      <x:c r="E989" t="n">
        <x:f>MIN($B$4,D989)*$B$7+MAX($B$4-D989,0)*$B$9-$B$4*$B$8</x:f>
        <x:v>200</x:v>
      </x:c>
      <x:c r="F989" t="n">
        <x:f>MIN($B$5,D989)*$B$7+MAX($B$5-D989,0)*$B$9-$B$5*$B$8</x:f>
        <x:v>240</x:v>
      </x:c>
      <x:c r="G989" t="n">
        <x:f>MIN($B$6,D989)*$B$7+MAX($B$6-D989,0)*$B$9-$B$6*$B$8</x:f>
        <x:v>233.60000000000002</x:v>
      </x:c>
      <x:c r="H989" t="n">
        <x:f>MAX(D989-$B$5,0)</x:f>
        <x:v>36</x:v>
      </x:c>
      <x:c r="I989" t="n">
        <x:f>MAX($B$5-D989,0)</x:f>
        <x:v>0</x:v>
      </x:c>
    </x:row>
    <x:row r="990">
      <x:c r="A990" t="n">
        <x:f>978</x:f>
        <x:v>978</x:v>
      </x:c>
      <x:c r="B990" t="n">
        <x:f>RAND()</x:f>
        <x:v>0.20464075588431718</x:v>
      </x:c>
      <x:c r="C990" t="n">
        <x:f>MIN(47,INT(B990*47)+1)</x:f>
        <x:v>10</x:v>
      </x:c>
      <x:c r="D990" t="n">
        <x:f>INDEX(Datos_47_semanas!$B$4:$B$50,C990)</x:f>
        <x:v>98</x:v>
      </x:c>
      <x:c r="E990" t="n">
        <x:f>MIN($B$4,D990)*$B$7+MAX($B$4-D990,0)*$B$9-$B$4*$B$8</x:f>
        <x:v>-5.200000000000017</x:v>
      </x:c>
      <x:c r="F990" t="n">
        <x:f>MIN($B$5,D990)*$B$7+MAX($B$5-D990,0)*$B$9-$B$5*$B$8</x:f>
        <x:v>-32.70000000000002</x:v>
      </x:c>
      <x:c r="G990" t="n">
        <x:f>MIN($B$6,D990)*$B$7+MAX($B$6-D990,0)*$B$9-$B$6*$B$8</x:f>
        <x:v>-87.70000000000002</x:v>
      </x:c>
      <x:c r="H990" t="n">
        <x:f>MAX(D990-$B$5,0)</x:f>
        <x:v>0</x:v>
      </x:c>
      <x:c r="I990" t="n">
        <x:f>MAX($B$5-D990,0)</x:f>
        <x:v>202</x:v>
      </x:c>
    </x:row>
    <x:row r="991">
      <x:c r="A991" t="n">
        <x:f>979</x:f>
        <x:v>979</x:v>
      </x:c>
      <x:c r="B991" t="n">
        <x:f>RAND()</x:f>
        <x:v>0.7872290365273669</x:v>
      </x:c>
      <x:c r="C991" t="n">
        <x:f>MIN(47,INT(B991*47)+1)</x:f>
        <x:v>37</x:v>
      </x:c>
      <x:c r="D991" t="n">
        <x:f>INDEX(Datos_47_semanas!$B$4:$B$50,C991)</x:f>
        <x:v>299</x:v>
      </x:c>
      <x:c r="E991" t="n">
        <x:f>MIN($B$4,D991)*$B$7+MAX($B$4-D991,0)*$B$9-$B$4*$B$8</x:f>
        <x:v>200</x:v>
      </x:c>
      <x:c r="F991" t="n">
        <x:f>MIN($B$5,D991)*$B$7+MAX($B$5-D991,0)*$B$9-$B$5*$B$8</x:f>
        <x:v>238.64999999999998</x:v>
      </x:c>
      <x:c r="G991" t="n">
        <x:f>MIN($B$6,D991)*$B$7+MAX($B$6-D991,0)*$B$9-$B$6*$B$8</x:f>
        <x:v>183.64999999999998</x:v>
      </x:c>
      <x:c r="H991" t="n">
        <x:f>MAX(D991-$B$5,0)</x:f>
        <x:v>0</x:v>
      </x:c>
      <x:c r="I991" t="n">
        <x:f>MAX($B$5-D991,0)</x:f>
        <x:v>1</x:v>
      </x:c>
    </x:row>
    <x:row r="992">
      <x:c r="A992" t="n">
        <x:f>980</x:f>
        <x:v>980</x:v>
      </x:c>
      <x:c r="B992" t="n">
        <x:f>RAND()</x:f>
        <x:v>0.7315672472631163</x:v>
      </x:c>
      <x:c r="C992" t="n">
        <x:f>MIN(47,INT(B992*47)+1)</x:f>
        <x:v>35</x:v>
      </x:c>
      <x:c r="D992" t="n">
        <x:f>INDEX(Datos_47_semanas!$B$4:$B$50,C992)</x:f>
        <x:v>192</x:v>
      </x:c>
      <x:c r="E992" t="n">
        <x:f>MIN($B$4,D992)*$B$7+MAX($B$4-D992,0)*$B$9-$B$4*$B$8</x:f>
        <x:v>121.69999999999993</x:v>
      </x:c>
      <x:c r="F992" t="n">
        <x:f>MIN($B$5,D992)*$B$7+MAX($B$5-D992,0)*$B$9-$B$5*$B$8</x:f>
        <x:v>94.19999999999993</x:v>
      </x:c>
      <x:c r="G992" t="n">
        <x:f>MIN($B$6,D992)*$B$7+MAX($B$6-D992,0)*$B$9-$B$6*$B$8</x:f>
        <x:v>39.19999999999993</x:v>
      </x:c>
      <x:c r="H992" t="n">
        <x:f>MAX(D992-$B$5,0)</x:f>
        <x:v>0</x:v>
      </x:c>
      <x:c r="I992" t="n">
        <x:f>MAX($B$5-D992,0)</x:f>
        <x:v>108</x:v>
      </x:c>
    </x:row>
    <x:row r="993">
      <x:c r="A993" t="n">
        <x:f>981</x:f>
        <x:v>981</x:v>
      </x:c>
      <x:c r="B993" t="n">
        <x:f>RAND()</x:f>
        <x:v>0.6778766892023569</x:v>
      </x:c>
      <x:c r="C993" t="n">
        <x:f>MIN(47,INT(B993*47)+1)</x:f>
        <x:v>32</x:v>
      </x:c>
      <x:c r="D993" t="n">
        <x:f>INDEX(Datos_47_semanas!$B$4:$B$50,C993)</x:f>
        <x:v>575</x:v>
      </x:c>
      <x:c r="E993" t="n">
        <x:f>MIN($B$4,D993)*$B$7+MAX($B$4-D993,0)*$B$9-$B$4*$B$8</x:f>
        <x:v>200</x:v>
      </x:c>
      <x:c r="F993" t="n">
        <x:f>MIN($B$5,D993)*$B$7+MAX($B$5-D993,0)*$B$9-$B$5*$B$8</x:f>
        <x:v>240</x:v>
      </x:c>
      <x:c r="G993" t="n">
        <x:f>MIN($B$6,D993)*$B$7+MAX($B$6-D993,0)*$B$9-$B$6*$B$8</x:f>
        <x:v>320</x:v>
      </x:c>
      <x:c r="H993" t="n">
        <x:f>MAX(D993-$B$5,0)</x:f>
        <x:v>275</x:v>
      </x:c>
      <x:c r="I993" t="n">
        <x:f>MAX($B$5-D993,0)</x:f>
        <x:v>0</x:v>
      </x:c>
    </x:row>
    <x:row r="994">
      <x:c r="A994" t="n">
        <x:f>982</x:f>
        <x:v>982</x:v>
      </x:c>
      <x:c r="B994" t="n">
        <x:f>RAND()</x:f>
        <x:v>0.721601405432228</x:v>
      </x:c>
      <x:c r="C994" t="n">
        <x:f>MIN(47,INT(B994*47)+1)</x:f>
        <x:v>34</x:v>
      </x:c>
      <x:c r="D994" t="n">
        <x:f>INDEX(Datos_47_semanas!$B$4:$B$50,C994)</x:f>
        <x:v>281</x:v>
      </x:c>
      <x:c r="E994" t="n">
        <x:f>MIN($B$4,D994)*$B$7+MAX($B$4-D994,0)*$B$9-$B$4*$B$8</x:f>
        <x:v>200</x:v>
      </x:c>
      <x:c r="F994" t="n">
        <x:f>MIN($B$5,D994)*$B$7+MAX($B$5-D994,0)*$B$9-$B$5*$B$8</x:f>
        <x:v>214.34999999999997</x:v>
      </x:c>
      <x:c r="G994" t="n">
        <x:f>MIN($B$6,D994)*$B$7+MAX($B$6-D994,0)*$B$9-$B$6*$B$8</x:f>
        <x:v>159.34999999999997</x:v>
      </x:c>
      <x:c r="H994" t="n">
        <x:f>MAX(D994-$B$5,0)</x:f>
        <x:v>0</x:v>
      </x:c>
      <x:c r="I994" t="n">
        <x:f>MAX($B$5-D994,0)</x:f>
        <x:v>19</x:v>
      </x:c>
    </x:row>
    <x:row r="995">
      <x:c r="A995" t="n">
        <x:f>983</x:f>
        <x:v>983</x:v>
      </x:c>
      <x:c r="B995" t="n">
        <x:f>RAND()</x:f>
        <x:v>0.7227755672484838</x:v>
      </x:c>
      <x:c r="C995" t="n">
        <x:f>MIN(47,INT(B995*47)+1)</x:f>
        <x:v>34</x:v>
      </x:c>
      <x:c r="D995" t="n">
        <x:f>INDEX(Datos_47_semanas!$B$4:$B$50,C995)</x:f>
        <x:v>281</x:v>
      </x:c>
      <x:c r="E995" t="n">
        <x:f>MIN($B$4,D995)*$B$7+MAX($B$4-D995,0)*$B$9-$B$4*$B$8</x:f>
        <x:v>200</x:v>
      </x:c>
      <x:c r="F995" t="n">
        <x:f>MIN($B$5,D995)*$B$7+MAX($B$5-D995,0)*$B$9-$B$5*$B$8</x:f>
        <x:v>214.34999999999997</x:v>
      </x:c>
      <x:c r="G995" t="n">
        <x:f>MIN($B$6,D995)*$B$7+MAX($B$6-D995,0)*$B$9-$B$6*$B$8</x:f>
        <x:v>159.34999999999997</x:v>
      </x:c>
      <x:c r="H995" t="n">
        <x:f>MAX(D995-$B$5,0)</x:f>
        <x:v>0</x:v>
      </x:c>
      <x:c r="I995" t="n">
        <x:f>MAX($B$5-D995,0)</x:f>
        <x:v>19</x:v>
      </x:c>
    </x:row>
    <x:row r="996">
      <x:c r="A996" t="n">
        <x:f>984</x:f>
        <x:v>984</x:v>
      </x:c>
      <x:c r="B996" t="n">
        <x:f>RAND()</x:f>
        <x:v>0.18269824570348392</x:v>
      </x:c>
      <x:c r="C996" t="n">
        <x:f>MIN(47,INT(B996*47)+1)</x:f>
        <x:v>9</x:v>
      </x:c>
      <x:c r="D996" t="n">
        <x:f>INDEX(Datos_47_semanas!$B$4:$B$50,C996)</x:f>
        <x:v>155</x:v>
      </x:c>
      <x:c r="E996" t="n">
        <x:f>MIN($B$4,D996)*$B$7+MAX($B$4-D996,0)*$B$9-$B$4*$B$8</x:f>
        <x:v>71.75</x:v>
      </x:c>
      <x:c r="F996" t="n">
        <x:f>MIN($B$5,D996)*$B$7+MAX($B$5-D996,0)*$B$9-$B$5*$B$8</x:f>
        <x:v>44.25</x:v>
      </x:c>
      <x:c r="G996" t="n">
        <x:f>MIN($B$6,D996)*$B$7+MAX($B$6-D996,0)*$B$9-$B$6*$B$8</x:f>
        <x:v>-10.75</x:v>
      </x:c>
      <x:c r="H996" t="n">
        <x:f>MAX(D996-$B$5,0)</x:f>
        <x:v>0</x:v>
      </x:c>
      <x:c r="I996" t="n">
        <x:f>MAX($B$5-D996,0)</x:f>
        <x:v>145</x:v>
      </x:c>
    </x:row>
    <x:row r="997">
      <x:c r="A997" t="n">
        <x:f>985</x:f>
        <x:v>985</x:v>
      </x:c>
      <x:c r="B997" t="n">
        <x:f>RAND()</x:f>
        <x:v>0.32925693490455554</x:v>
      </x:c>
      <x:c r="C997" t="n">
        <x:f>MIN(47,INT(B997*47)+1)</x:f>
        <x:v>16</x:v>
      </x:c>
      <x:c r="D997" t="n">
        <x:f>INDEX(Datos_47_semanas!$B$4:$B$50,C997)</x:f>
        <x:v>318</x:v>
      </x:c>
      <x:c r="E997" t="n">
        <x:f>MIN($B$4,D997)*$B$7+MAX($B$4-D997,0)*$B$9-$B$4*$B$8</x:f>
        <x:v>200</x:v>
      </x:c>
      <x:c r="F997" t="n">
        <x:f>MIN($B$5,D997)*$B$7+MAX($B$5-D997,0)*$B$9-$B$5*$B$8</x:f>
        <x:v>240</x:v>
      </x:c>
      <x:c r="G997" t="n">
        <x:f>MIN($B$6,D997)*$B$7+MAX($B$6-D997,0)*$B$9-$B$6*$B$8</x:f>
        <x:v>209.29999999999995</x:v>
      </x:c>
      <x:c r="H997" t="n">
        <x:f>MAX(D997-$B$5,0)</x:f>
        <x:v>18</x:v>
      </x:c>
      <x:c r="I997" t="n">
        <x:f>MAX($B$5-D997,0)</x:f>
        <x:v>0</x:v>
      </x:c>
    </x:row>
    <x:row r="998">
      <x:c r="A998" t="n">
        <x:f>986</x:f>
        <x:v>986</x:v>
      </x:c>
      <x:c r="B998" t="n">
        <x:f>RAND()</x:f>
        <x:v>0.8390736679794123</x:v>
      </x:c>
      <x:c r="C998" t="n">
        <x:f>MIN(47,INT(B998*47)+1)</x:f>
        <x:v>40</x:v>
      </x:c>
      <x:c r="D998" t="n">
        <x:f>INDEX(Datos_47_semanas!$B$4:$B$50,C998)</x:f>
        <x:v>278</x:v>
      </x:c>
      <x:c r="E998" t="n">
        <x:f>MIN($B$4,D998)*$B$7+MAX($B$4-D998,0)*$B$9-$B$4*$B$8</x:f>
        <x:v>200</x:v>
      </x:c>
      <x:c r="F998" t="n">
        <x:f>MIN($B$5,D998)*$B$7+MAX($B$5-D998,0)*$B$9-$B$5*$B$8</x:f>
        <x:v>210.3</x:v>
      </x:c>
      <x:c r="G998" t="n">
        <x:f>MIN($B$6,D998)*$B$7+MAX($B$6-D998,0)*$B$9-$B$6*$B$8</x:f>
        <x:v>155.3</x:v>
      </x:c>
      <x:c r="H998" t="n">
        <x:f>MAX(D998-$B$5,0)</x:f>
        <x:v>0</x:v>
      </x:c>
      <x:c r="I998" t="n">
        <x:f>MAX($B$5-D998,0)</x:f>
        <x:v>22</x:v>
      </x:c>
    </x:row>
    <x:row r="999">
      <x:c r="A999" t="n">
        <x:f>987</x:f>
        <x:v>987</x:v>
      </x:c>
      <x:c r="B999" t="n">
        <x:f>RAND()</x:f>
        <x:v>0.8430651718154691</x:v>
      </x:c>
      <x:c r="C999" t="n">
        <x:f>MIN(47,INT(B999*47)+1)</x:f>
        <x:v>40</x:v>
      </x:c>
      <x:c r="D999" t="n">
        <x:f>INDEX(Datos_47_semanas!$B$4:$B$50,C999)</x:f>
        <x:v>278</x:v>
      </x:c>
      <x:c r="E999" t="n">
        <x:f>MIN($B$4,D999)*$B$7+MAX($B$4-D999,0)*$B$9-$B$4*$B$8</x:f>
        <x:v>200</x:v>
      </x:c>
      <x:c r="F999" t="n">
        <x:f>MIN($B$5,D999)*$B$7+MAX($B$5-D999,0)*$B$9-$B$5*$B$8</x:f>
        <x:v>210.3</x:v>
      </x:c>
      <x:c r="G999" t="n">
        <x:f>MIN($B$6,D999)*$B$7+MAX($B$6-D999,0)*$B$9-$B$6*$B$8</x:f>
        <x:v>155.3</x:v>
      </x:c>
      <x:c r="H999" t="n">
        <x:f>MAX(D999-$B$5,0)</x:f>
        <x:v>0</x:v>
      </x:c>
      <x:c r="I999" t="n">
        <x:f>MAX($B$5-D999,0)</x:f>
        <x:v>22</x:v>
      </x:c>
    </x:row>
    <x:row r="1000">
      <x:c r="A1000" t="n">
        <x:f>988</x:f>
        <x:v>988</x:v>
      </x:c>
      <x:c r="B1000" t="n">
        <x:f>RAND()</x:f>
        <x:v>0.365553539869237</x:v>
      </x:c>
      <x:c r="C1000" t="n">
        <x:f>MIN(47,INT(B1000*47)+1)</x:f>
        <x:v>18</x:v>
      </x:c>
      <x:c r="D1000" t="n">
        <x:f>INDEX(Datos_47_semanas!$B$4:$B$50,C1000)</x:f>
        <x:v>219</x:v>
      </x:c>
      <x:c r="E1000" t="n">
        <x:f>MIN($B$4,D1000)*$B$7+MAX($B$4-D1000,0)*$B$9-$B$4*$B$8</x:f>
        <x:v>158.14999999999998</x:v>
      </x:c>
      <x:c r="F1000" t="n">
        <x:f>MIN($B$5,D1000)*$B$7+MAX($B$5-D1000,0)*$B$9-$B$5*$B$8</x:f>
        <x:v>130.64999999999998</x:v>
      </x:c>
      <x:c r="G1000" t="n">
        <x:f>MIN($B$6,D1000)*$B$7+MAX($B$6-D1000,0)*$B$9-$B$6*$B$8</x:f>
        <x:v>75.64999999999998</x:v>
      </x:c>
      <x:c r="H1000" t="n">
        <x:f>MAX(D1000-$B$5,0)</x:f>
        <x:v>0</x:v>
      </x:c>
      <x:c r="I1000" t="n">
        <x:f>MAX($B$5-D1000,0)</x:f>
        <x:v>81</x:v>
      </x:c>
    </x:row>
    <x:row r="1001">
      <x:c r="A1001" t="n">
        <x:f>989</x:f>
        <x:v>989</x:v>
      </x:c>
      <x:c r="B1001" t="n">
        <x:f>RAND()</x:f>
        <x:v>0.2589252942816722</x:v>
      </x:c>
      <x:c r="C1001" t="n">
        <x:f>MIN(47,INT(B1001*47)+1)</x:f>
        <x:v>13</x:v>
      </x:c>
      <x:c r="D1001" t="n">
        <x:f>INDEX(Datos_47_semanas!$B$4:$B$50,C1001)</x:f>
        <x:v>517</x:v>
      </x:c>
      <x:c r="E1001" t="n">
        <x:f>MIN($B$4,D1001)*$B$7+MAX($B$4-D1001,0)*$B$9-$B$4*$B$8</x:f>
        <x:v>200</x:v>
      </x:c>
      <x:c r="F1001" t="n">
        <x:f>MIN($B$5,D1001)*$B$7+MAX($B$5-D1001,0)*$B$9-$B$5*$B$8</x:f>
        <x:v>240</x:v>
      </x:c>
      <x:c r="G1001" t="n">
        <x:f>MIN($B$6,D1001)*$B$7+MAX($B$6-D1001,0)*$B$9-$B$6*$B$8</x:f>
        <x:v>320</x:v>
      </x:c>
      <x:c r="H1001" t="n">
        <x:f>MAX(D1001-$B$5,0)</x:f>
        <x:v>217</x:v>
      </x:c>
      <x:c r="I1001" t="n">
        <x:f>MAX($B$5-D1001,0)</x:f>
        <x:v>0</x:v>
      </x:c>
    </x:row>
    <x:row r="1002">
      <x:c r="A1002" t="n">
        <x:f>990</x:f>
        <x:v>990</x:v>
      </x:c>
      <x:c r="B1002" t="n">
        <x:f>RAND()</x:f>
        <x:v>0.5522831951861652</x:v>
      </x:c>
      <x:c r="C1002" t="n">
        <x:f>MIN(47,INT(B1002*47)+1)</x:f>
        <x:v>26</x:v>
      </x:c>
      <x:c r="D1002" t="n">
        <x:f>INDEX(Datos_47_semanas!$B$4:$B$50,C1002)</x:f>
        <x:v>183</x:v>
      </x:c>
      <x:c r="E1002" t="n">
        <x:f>MIN($B$4,D1002)*$B$7+MAX($B$4-D1002,0)*$B$9-$B$4*$B$8</x:f>
        <x:v>109.55000000000001</x:v>
      </x:c>
      <x:c r="F1002" t="n">
        <x:f>MIN($B$5,D1002)*$B$7+MAX($B$5-D1002,0)*$B$9-$B$5*$B$8</x:f>
        <x:v>82.05000000000001</x:v>
      </x:c>
      <x:c r="G1002" t="n">
        <x:f>MIN($B$6,D1002)*$B$7+MAX($B$6-D1002,0)*$B$9-$B$6*$B$8</x:f>
        <x:v>27.049999999999955</x:v>
      </x:c>
      <x:c r="H1002" t="n">
        <x:f>MAX(D1002-$B$5,0)</x:f>
        <x:v>0</x:v>
      </x:c>
      <x:c r="I1002" t="n">
        <x:f>MAX($B$5-D1002,0)</x:f>
        <x:v>117</x:v>
      </x:c>
    </x:row>
    <x:row r="1003">
      <x:c r="A1003" t="n">
        <x:f>991</x:f>
        <x:v>991</x:v>
      </x:c>
      <x:c r="B1003" t="n">
        <x:f>RAND()</x:f>
        <x:v>0.94475216662779</x:v>
      </x:c>
      <x:c r="C1003" t="n">
        <x:f>MIN(47,INT(B1003*47)+1)</x:f>
        <x:v>45</x:v>
      </x:c>
      <x:c r="D1003" t="n">
        <x:f>INDEX(Datos_47_semanas!$B$4:$B$50,C1003)</x:f>
        <x:v>526</x:v>
      </x:c>
      <x:c r="E1003" t="n">
        <x:f>MIN($B$4,D1003)*$B$7+MAX($B$4-D1003,0)*$B$9-$B$4*$B$8</x:f>
        <x:v>200</x:v>
      </x:c>
      <x:c r="F1003" t="n">
        <x:f>MIN($B$5,D1003)*$B$7+MAX($B$5-D1003,0)*$B$9-$B$5*$B$8</x:f>
        <x:v>240</x:v>
      </x:c>
      <x:c r="G1003" t="n">
        <x:f>MIN($B$6,D1003)*$B$7+MAX($B$6-D1003,0)*$B$9-$B$6*$B$8</x:f>
        <x:v>320</x:v>
      </x:c>
      <x:c r="H1003" t="n">
        <x:f>MAX(D1003-$B$5,0)</x:f>
        <x:v>226</x:v>
      </x:c>
      <x:c r="I1003" t="n">
        <x:f>MAX($B$5-D1003,0)</x:f>
        <x:v>0</x:v>
      </x:c>
    </x:row>
    <x:row r="1004">
      <x:c r="A1004" t="n">
        <x:f>992</x:f>
        <x:v>992</x:v>
      </x:c>
      <x:c r="B1004" t="n">
        <x:f>RAND()</x:f>
        <x:v>0.4373186278725547</x:v>
      </x:c>
      <x:c r="C1004" t="n">
        <x:f>MIN(47,INT(B1004*47)+1)</x:f>
        <x:v>21</x:v>
      </x:c>
      <x:c r="D1004" t="n">
        <x:f>INDEX(Datos_47_semanas!$B$4:$B$50,C1004)</x:f>
        <x:v>424</x:v>
      </x:c>
      <x:c r="E1004" t="n">
        <x:f>MIN($B$4,D1004)*$B$7+MAX($B$4-D1004,0)*$B$9-$B$4*$B$8</x:f>
        <x:v>200</x:v>
      </x:c>
      <x:c r="F1004" t="n">
        <x:f>MIN($B$5,D1004)*$B$7+MAX($B$5-D1004,0)*$B$9-$B$5*$B$8</x:f>
        <x:v>240</x:v>
      </x:c>
      <x:c r="G1004" t="n">
        <x:f>MIN($B$6,D1004)*$B$7+MAX($B$6-D1004,0)*$B$9-$B$6*$B$8</x:f>
        <x:v>320</x:v>
      </x:c>
      <x:c r="H1004" t="n">
        <x:f>MAX(D1004-$B$5,0)</x:f>
        <x:v>124</x:v>
      </x:c>
      <x:c r="I1004" t="n">
        <x:f>MAX($B$5-D1004,0)</x:f>
        <x:v>0</x:v>
      </x:c>
    </x:row>
    <x:row r="1005">
      <x:c r="A1005" t="n">
        <x:f>993</x:f>
        <x:v>993</x:v>
      </x:c>
      <x:c r="B1005" t="n">
        <x:f>RAND()</x:f>
        <x:v>0.9066757025327205</x:v>
      </x:c>
      <x:c r="C1005" t="n">
        <x:f>MIN(47,INT(B1005*47)+1)</x:f>
        <x:v>43</x:v>
      </x:c>
      <x:c r="D1005" t="n">
        <x:f>INDEX(Datos_47_semanas!$B$4:$B$50,C1005)</x:f>
        <x:v>234</x:v>
      </x:c>
      <x:c r="E1005" t="n">
        <x:f>MIN($B$4,D1005)*$B$7+MAX($B$4-D1005,0)*$B$9-$B$4*$B$8</x:f>
        <x:v>178.39999999999998</x:v>
      </x:c>
      <x:c r="F1005" t="n">
        <x:f>MIN($B$5,D1005)*$B$7+MAX($B$5-D1005,0)*$B$9-$B$5*$B$8</x:f>
        <x:v>150.89999999999998</x:v>
      </x:c>
      <x:c r="G1005" t="n">
        <x:f>MIN($B$6,D1005)*$B$7+MAX($B$6-D1005,0)*$B$9-$B$6*$B$8</x:f>
        <x:v>95.89999999999998</x:v>
      </x:c>
      <x:c r="H1005" t="n">
        <x:f>MAX(D1005-$B$5,0)</x:f>
        <x:v>0</x:v>
      </x:c>
      <x:c r="I1005" t="n">
        <x:f>MAX($B$5-D1005,0)</x:f>
        <x:v>66</x:v>
      </x:c>
    </x:row>
    <x:row r="1006">
      <x:c r="A1006" t="n">
        <x:f>994</x:f>
        <x:v>994</x:v>
      </x:c>
      <x:c r="B1006" t="n">
        <x:f>RAND()</x:f>
        <x:v>0.10678165191263622</x:v>
      </x:c>
      <x:c r="C1006" t="n">
        <x:f>MIN(47,INT(B1006*47)+1)</x:f>
        <x:v>6</x:v>
      </x:c>
      <x:c r="D1006" t="n">
        <x:f>INDEX(Datos_47_semanas!$B$4:$B$50,C1006)</x:f>
        <x:v>155</x:v>
      </x:c>
      <x:c r="E1006" t="n">
        <x:f>MIN($B$4,D1006)*$B$7+MAX($B$4-D1006,0)*$B$9-$B$4*$B$8</x:f>
        <x:v>71.75</x:v>
      </x:c>
      <x:c r="F1006" t="n">
        <x:f>MIN($B$5,D1006)*$B$7+MAX($B$5-D1006,0)*$B$9-$B$5*$B$8</x:f>
        <x:v>44.25</x:v>
      </x:c>
      <x:c r="G1006" t="n">
        <x:f>MIN($B$6,D1006)*$B$7+MAX($B$6-D1006,0)*$B$9-$B$6*$B$8</x:f>
        <x:v>-10.75</x:v>
      </x:c>
      <x:c r="H1006" t="n">
        <x:f>MAX(D1006-$B$5,0)</x:f>
        <x:v>0</x:v>
      </x:c>
      <x:c r="I1006" t="n">
        <x:f>MAX($B$5-D1006,0)</x:f>
        <x:v>145</x:v>
      </x:c>
    </x:row>
    <x:row r="1007">
      <x:c r="A1007" t="n">
        <x:f>995</x:f>
        <x:v>995</x:v>
      </x:c>
      <x:c r="B1007" t="n">
        <x:f>RAND()</x:f>
        <x:v>0.15674874427906038</x:v>
      </x:c>
      <x:c r="C1007" t="n">
        <x:f>MIN(47,INT(B1007*47)+1)</x:f>
        <x:v>8</x:v>
      </x:c>
      <x:c r="D1007" t="n">
        <x:f>INDEX(Datos_47_semanas!$B$4:$B$50,C1007)</x:f>
        <x:v>259</x:v>
      </x:c>
      <x:c r="E1007" t="n">
        <x:f>MIN($B$4,D1007)*$B$7+MAX($B$4-D1007,0)*$B$9-$B$4*$B$8</x:f>
        <x:v>200</x:v>
      </x:c>
      <x:c r="F1007" t="n">
        <x:f>MIN($B$5,D1007)*$B$7+MAX($B$5-D1007,0)*$B$9-$B$5*$B$8</x:f>
        <x:v>184.64999999999998</x:v>
      </x:c>
      <x:c r="G1007" t="n">
        <x:f>MIN($B$6,D1007)*$B$7+MAX($B$6-D1007,0)*$B$9-$B$6*$B$8</x:f>
        <x:v>129.64999999999998</x:v>
      </x:c>
      <x:c r="H1007" t="n">
        <x:f>MAX(D1007-$B$5,0)</x:f>
        <x:v>0</x:v>
      </x:c>
      <x:c r="I1007" t="n">
        <x:f>MAX($B$5-D1007,0)</x:f>
        <x:v>41</x:v>
      </x:c>
    </x:row>
    <x:row r="1008">
      <x:c r="A1008" t="n">
        <x:f>996</x:f>
        <x:v>996</x:v>
      </x:c>
      <x:c r="B1008" t="n">
        <x:f>RAND()</x:f>
        <x:v>0.29030335457073686</x:v>
      </x:c>
      <x:c r="C1008" t="n">
        <x:f>MIN(47,INT(B1008*47)+1)</x:f>
        <x:v>14</x:v>
      </x:c>
      <x:c r="D1008" t="n">
        <x:f>INDEX(Datos_47_semanas!$B$4:$B$50,C1008)</x:f>
        <x:v>187</x:v>
      </x:c>
      <x:c r="E1008" t="n">
        <x:f>MIN($B$4,D1008)*$B$7+MAX($B$4-D1008,0)*$B$9-$B$4*$B$8</x:f>
        <x:v>114.94999999999999</x:v>
      </x:c>
      <x:c r="F1008" t="n">
        <x:f>MIN($B$5,D1008)*$B$7+MAX($B$5-D1008,0)*$B$9-$B$5*$B$8</x:f>
        <x:v>87.44999999999999</x:v>
      </x:c>
      <x:c r="G1008" t="n">
        <x:f>MIN($B$6,D1008)*$B$7+MAX($B$6-D1008,0)*$B$9-$B$6*$B$8</x:f>
        <x:v>32.44999999999999</x:v>
      </x:c>
      <x:c r="H1008" t="n">
        <x:f>MAX(D1008-$B$5,0)</x:f>
        <x:v>0</x:v>
      </x:c>
      <x:c r="I1008" t="n">
        <x:f>MAX($B$5-D1008,0)</x:f>
        <x:v>113</x:v>
      </x:c>
    </x:row>
    <x:row r="1009">
      <x:c r="A1009" t="n">
        <x:f>997</x:f>
        <x:v>997</x:v>
      </x:c>
      <x:c r="B1009" t="n">
        <x:f>RAND()</x:f>
        <x:v>0.09788402242302996</x:v>
      </x:c>
      <x:c r="C1009" t="n">
        <x:f>MIN(47,INT(B1009*47)+1)</x:f>
        <x:v>5</x:v>
      </x:c>
      <x:c r="D1009" t="n">
        <x:f>INDEX(Datos_47_semanas!$B$4:$B$50,C1009)</x:f>
        <x:v>347</x:v>
      </x:c>
      <x:c r="E1009" t="n">
        <x:f>MIN($B$4,D1009)*$B$7+MAX($B$4-D1009,0)*$B$9-$B$4*$B$8</x:f>
        <x:v>200</x:v>
      </x:c>
      <x:c r="F1009" t="n">
        <x:f>MIN($B$5,D1009)*$B$7+MAX($B$5-D1009,0)*$B$9-$B$5*$B$8</x:f>
        <x:v>240</x:v>
      </x:c>
      <x:c r="G1009" t="n">
        <x:f>MIN($B$6,D1009)*$B$7+MAX($B$6-D1009,0)*$B$9-$B$6*$B$8</x:f>
        <x:v>248.44999999999993</x:v>
      </x:c>
      <x:c r="H1009" t="n">
        <x:f>MAX(D1009-$B$5,0)</x:f>
        <x:v>47</x:v>
      </x:c>
      <x:c r="I1009" t="n">
        <x:f>MAX($B$5-D1009,0)</x:f>
        <x:v>0</x:v>
      </x:c>
    </x:row>
    <x:row r="1010">
      <x:c r="A1010" t="n">
        <x:f>998</x:f>
        <x:v>998</x:v>
      </x:c>
      <x:c r="B1010" t="n">
        <x:f>RAND()</x:f>
        <x:v>0.8589707643376078</x:v>
      </x:c>
      <x:c r="C1010" t="n">
        <x:f>MIN(47,INT(B1010*47)+1)</x:f>
        <x:v>41</x:v>
      </x:c>
      <x:c r="D1010" t="n">
        <x:f>INDEX(Datos_47_semanas!$B$4:$B$50,C1010)</x:f>
        <x:v>383</x:v>
      </x:c>
      <x:c r="E1010" t="n">
        <x:f>MIN($B$4,D1010)*$B$7+MAX($B$4-D1010,0)*$B$9-$B$4*$B$8</x:f>
        <x:v>200</x:v>
      </x:c>
      <x:c r="F1010" t="n">
        <x:f>MIN($B$5,D1010)*$B$7+MAX($B$5-D1010,0)*$B$9-$B$5*$B$8</x:f>
        <x:v>240</x:v>
      </x:c>
      <x:c r="G1010" t="n">
        <x:f>MIN($B$6,D1010)*$B$7+MAX($B$6-D1010,0)*$B$9-$B$6*$B$8</x:f>
        <x:v>297.04999999999995</x:v>
      </x:c>
      <x:c r="H1010" t="n">
        <x:f>MAX(D1010-$B$5,0)</x:f>
        <x:v>83</x:v>
      </x:c>
      <x:c r="I1010" t="n">
        <x:f>MAX($B$5-D1010,0)</x:f>
        <x:v>0</x:v>
      </x:c>
    </x:row>
    <x:row r="1011">
      <x:c r="A1011" t="n">
        <x:f>999</x:f>
        <x:v>999</x:v>
      </x:c>
      <x:c r="B1011" t="n">
        <x:f>RAND()</x:f>
        <x:v>0.8239776085297603</x:v>
      </x:c>
      <x:c r="C1011" t="n">
        <x:f>MIN(47,INT(B1011*47)+1)</x:f>
        <x:v>39</x:v>
      </x:c>
      <x:c r="D1011" t="n">
        <x:f>INDEX(Datos_47_semanas!$B$4:$B$50,C1011)</x:f>
        <x:v>228</x:v>
      </x:c>
      <x:c r="E1011" t="n">
        <x:f>MIN($B$4,D1011)*$B$7+MAX($B$4-D1011,0)*$B$9-$B$4*$B$8</x:f>
        <x:v>170.3</x:v>
      </x:c>
      <x:c r="F1011" t="n">
        <x:f>MIN($B$5,D1011)*$B$7+MAX($B$5-D1011,0)*$B$9-$B$5*$B$8</x:f>
        <x:v>142.8</x:v>
      </x:c>
      <x:c r="G1011" t="n">
        <x:f>MIN($B$6,D1011)*$B$7+MAX($B$6-D1011,0)*$B$9-$B$6*$B$8</x:f>
        <x:v>87.80000000000001</x:v>
      </x:c>
      <x:c r="H1011" t="n">
        <x:f>MAX(D1011-$B$5,0)</x:f>
        <x:v>0</x:v>
      </x:c>
      <x:c r="I1011" t="n">
        <x:f>MAX($B$5-D1011,0)</x:f>
        <x:v>72</x:v>
      </x:c>
    </x:row>
    <x:row r="1012">
      <x:c r="A1012" t="n">
        <x:f>1000</x:f>
        <x:v>1000</x:v>
      </x:c>
      <x:c r="B1012" t="n">
        <x:f>RAND()</x:f>
        <x:v>0.5761599639274552</x:v>
      </x:c>
      <x:c r="C1012" t="n">
        <x:f>MIN(47,INT(B1012*47)+1)</x:f>
        <x:v>28</x:v>
      </x:c>
      <x:c r="D1012" t="n">
        <x:f>INDEX(Datos_47_semanas!$B$4:$B$50,C1012)</x:f>
        <x:v>201</x:v>
      </x:c>
      <x:c r="E1012" t="n">
        <x:f>MIN($B$4,D1012)*$B$7+MAX($B$4-D1012,0)*$B$9-$B$4*$B$8</x:f>
        <x:v>133.84999999999997</x:v>
      </x:c>
      <x:c r="F1012" t="n">
        <x:f>MIN($B$5,D1012)*$B$7+MAX($B$5-D1012,0)*$B$9-$B$5*$B$8</x:f>
        <x:v>106.34999999999997</x:v>
      </x:c>
      <x:c r="G1012" t="n">
        <x:f>MIN($B$6,D1012)*$B$7+MAX($B$6-D1012,0)*$B$9-$B$6*$B$8</x:f>
        <x:v>51.349999999999966</x:v>
      </x:c>
      <x:c r="H1012" t="n">
        <x:f>MAX(D1012-$B$5,0)</x:f>
        <x:v>0</x:v>
      </x:c>
      <x:c r="I1012" t="n">
        <x:f>MAX($B$5-D1012,0)</x:f>
        <x:v>99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04" hidden="0" customWidth="1"/>
  </x:cols>
  <x:sheetData>
    <x:row r="1" ht="36" customHeight="1">
      <x:c r="A1" s="3" t="str">
        <x:v>DEFENSA · Recomendación ejecutiva</x:v>
      </x:c>
      <x:c r="B1" s="3"/>
      <x:c r="C1" s="3"/>
      <x:c r="D1" s="3"/>
      <x:c r="E1" s="3"/>
      <x:c r="F1" s="3"/>
      <x:c r="G1" s="3"/>
      <x:c r="H1" s="3"/>
    </x:row>
    <x:row r="4" ht="33" customHeight="1">
      <x:c r="A4" s="8" t="str">
        <x:v>Equipo</x:v>
      </x:c>
      <x:c r="B4" s="18" t="str"/>
    </x:row>
    <x:row r="5" ht="33" customHeight="1">
      <x:c r="A5" s="8" t="str">
        <x:v>Alternativa elegida (250/300/400)</x:v>
      </x:c>
      <x:c r="B5" s="18" t="str"/>
    </x:row>
    <x:row r="6" ht="33" customHeight="1">
      <x:c r="A6" s="8" t="str">
        <x:v>Evidencia del tema 1</x:v>
      </x:c>
      <x:c r="B6" s="18" t="str"/>
    </x:row>
    <x:row r="7" ht="33" customHeight="1">
      <x:c r="A7" s="8" t="str">
        <x:v>Hallazgo del modelo determinístico</x:v>
      </x:c>
      <x:c r="B7" s="18" t="str"/>
    </x:row>
    <x:row r="8" ht="33" customHeight="1">
      <x:c r="A8" s="8" t="str">
        <x:v>Hallazgo de Monte Carlo</x:v>
      </x:c>
      <x:c r="B8" s="18" t="str"/>
    </x:row>
    <x:row r="9" ht="33" customHeight="1">
      <x:c r="A9" s="8" t="str">
        <x:v>Riesgo más importante</x:v>
      </x:c>
      <x:c r="B9" s="18" t="str"/>
    </x:row>
    <x:row r="10" ht="33" customHeight="1">
      <x:c r="A10" s="8" t="str">
        <x:v>¿Qué cambiaría la decisión?</x:v>
      </x:c>
      <x:c r="B10" s="18" t="str"/>
    </x:row>
    <x:row r="11" ht="33" customHeight="1">
      <x:c r="A11" s="8" t="str">
        <x:v>¿Qué falta medir en la empresa real?</x:v>
      </x:c>
      <x:c r="B11" s="18" t="str"/>
    </x:row>
    <x:row r="12" ht="33" customHeight="1">
      <x:c r="A12" s="8" t="str">
        <x:v>Conclusión en 2 frases</x:v>
      </x:c>
      <x:c r="B12" s="18" t="str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2" hidden="0" customWidth="1"/>
  </x:cols>
  <x:sheetData>
    <x:row r="1" ht="36" customHeight="1">
      <x:c r="A1" s="3" t="str">
        <x:v>Fuente, licencia y decisiones de modelado</x:v>
      </x:c>
      <x:c r="B1" s="3"/>
      <x:c r="C1" s="3"/>
      <x:c r="D1" s="3"/>
      <x:c r="E1" s="3"/>
      <x:c r="F1" s="3"/>
      <x:c r="G1" s="3"/>
      <x:c r="H1" s="3"/>
    </x:row>
    <x:row r="4" ht="32" customHeight="1">
      <x:c r="A4" s="8" t="str">
        <x:v>Origen</x:v>
      </x:c>
      <x:c r="B4" s="6" t="str">
        <x:v>Chen, D. (2015). Online Retail. UCI Machine Learning Repository.</x:v>
      </x:c>
    </x:row>
    <x:row r="5" ht="32" customHeight="1">
      <x:c r="A5" s="8" t="str">
        <x:v>DOI</x:v>
      </x:c>
      <x:c r="B5" s="6" t="str">
        <x:v>https://doi.org/10.24432/C5BW33</x:v>
      </x:c>
    </x:row>
    <x:row r="6" ht="32" customHeight="1">
      <x:c r="A6" s="8" t="str">
        <x:v>Licencia</x:v>
      </x:c>
      <x:c r="B6" s="6" t="str">
        <x:v>CC BY 4.0 · https://creativecommons.org/licenses/by/4.0/</x:v>
      </x:c>
    </x:row>
    <x:row r="7" ht="32" customHeight="1">
      <x:c r="A7" s="8" t="str">
        <x:v>Cambios</x:v>
      </x:c>
      <x:c r="B7" s="6" t="str">
        <x:v>Filtrado a producto 20725, Reino Unido, ventas positivas, no canceladas. Agregación semanal.</x:v>
      </x:c>
    </x:row>
    <x:row r="8" ht="32" customHeight="1">
      <x:c r="A8" s="8" t="str">
        <x:v>Periodo</x:v>
      </x:c>
      <x:c r="B8" s="6" t="str">
        <x:v>47 semanas completas: lunes 03-ene-2011 a domingo 27-nov-2011.</x:v>
      </x:c>
    </x:row>
    <x:row r="9" ht="32" customHeight="1">
      <x:c r="A9" s="8" t="str">
        <x:v>Datos de la fuente</x:v>
      </x:c>
      <x:c r="B9" s="6" t="str">
        <x:v>Unidades, fechas, líneas de transacción y facturación histórica (GBP).</x:v>
      </x:c>
    </x:row>
    <x:row r="10" ht="32" customHeight="1">
      <x:c r="A10" s="8" t="str">
        <x:v>Hipótesis del caso</x:v>
      </x:c>
      <x:c r="B10" s="6" t="str">
        <x:v>Costos y valor de recuperación didácticos; Q como decisión.</x:v>
      </x:c>
    </x:row>
    <x:row r="11" ht="32" customHeight="1">
      <x:c r="A11" s="8" t="str">
        <x:v>Limitaciones</x:v>
      </x:c>
      <x:c r="B11" s="6" t="str">
        <x:v>Ventas ≠ demanda total; posible estacionalidad y dependencia temporal; simulación empírica simplificada.</x:v>
      </x:c>
    </x:row>
  </x:sheetData>
  <x:mergeCells>
    <x:mergeCell ref="A1:H1"/>
  </x:mergeCells>
  <x:pageMargins left="0.7" right="0.7" top="0.75" bottom="0.75" header="0.3" footer="0.3"/>
</x:worksheet>
</file>